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cv excel github\audit\"/>
    </mc:Choice>
  </mc:AlternateContent>
  <xr:revisionPtr revIDLastSave="0" documentId="13_ncr:1_{7667445D-5C6D-426E-9609-A7B8DFFC4150}" xr6:coauthVersionLast="47" xr6:coauthVersionMax="47" xr10:uidLastSave="{00000000-0000-0000-0000-000000000000}"/>
  <bookViews>
    <workbookView xWindow="-110" yWindow="-110" windowWidth="19420" windowHeight="10300" activeTab="4" xr2:uid="{5A448A53-49EA-4D82-B5DB-E737759AA336}"/>
  </bookViews>
  <sheets>
    <sheet name="01-Cash-Raw" sheetId="1" r:id="rId1"/>
    <sheet name="01-Cash-Hlp" sheetId="2" r:id="rId2"/>
    <sheet name="01-Cash-WP" sheetId="3" r:id="rId3"/>
    <sheet name="01-Cash-Pvt" sheetId="4" r:id="rId4"/>
    <sheet name="01-Cash-Dash" sheetId="6" r:id="rId5"/>
  </sheets>
  <externalReferences>
    <externalReference r:id="rId6"/>
    <externalReference r:id="rId7"/>
  </externalReferences>
  <calcPr calcId="191029"/>
  <pivotCaches>
    <pivotCache cacheId="22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" i="6" l="1"/>
  <c r="C12" i="6"/>
  <c r="D11" i="6"/>
  <c r="C11" i="6"/>
  <c r="D10" i="6"/>
  <c r="D13" i="6" s="1"/>
  <c r="C10" i="6"/>
  <c r="C13" i="6" s="1"/>
  <c r="K6" i="6"/>
  <c r="H6" i="6"/>
  <c r="E6" i="6"/>
  <c r="B6" i="6"/>
  <c r="G26" i="3"/>
  <c r="F17" i="3"/>
  <c r="C17" i="3"/>
  <c r="B17" i="3"/>
  <c r="D16" i="3"/>
  <c r="E16" i="3" s="1"/>
  <c r="G16" i="3" s="1"/>
  <c r="D15" i="3"/>
  <c r="E15" i="3" s="1"/>
  <c r="G15" i="3" s="1"/>
  <c r="D14" i="3"/>
  <c r="E14" i="3" s="1"/>
  <c r="G14" i="3" s="1"/>
  <c r="D13" i="3"/>
  <c r="E13" i="3" s="1"/>
  <c r="G13" i="3" s="1"/>
  <c r="D12" i="3"/>
  <c r="I121" i="2"/>
  <c r="H121" i="2"/>
  <c r="G121" i="2"/>
  <c r="F121" i="2"/>
  <c r="E121" i="2"/>
  <c r="D121" i="2"/>
  <c r="C121" i="2"/>
  <c r="B121" i="2"/>
  <c r="A121" i="2"/>
  <c r="I120" i="2"/>
  <c r="H120" i="2"/>
  <c r="G120" i="2"/>
  <c r="F120" i="2"/>
  <c r="E120" i="2"/>
  <c r="D120" i="2"/>
  <c r="C120" i="2"/>
  <c r="B120" i="2"/>
  <c r="A120" i="2"/>
  <c r="I119" i="2"/>
  <c r="H119" i="2"/>
  <c r="G119" i="2"/>
  <c r="F119" i="2"/>
  <c r="E119" i="2"/>
  <c r="D119" i="2"/>
  <c r="C119" i="2"/>
  <c r="B119" i="2"/>
  <c r="A119" i="2"/>
  <c r="I118" i="2"/>
  <c r="H118" i="2"/>
  <c r="G118" i="2"/>
  <c r="F118" i="2"/>
  <c r="E118" i="2"/>
  <c r="D118" i="2"/>
  <c r="C118" i="2"/>
  <c r="B118" i="2"/>
  <c r="A118" i="2"/>
  <c r="I117" i="2"/>
  <c r="H117" i="2"/>
  <c r="G117" i="2"/>
  <c r="F117" i="2"/>
  <c r="E117" i="2"/>
  <c r="D117" i="2"/>
  <c r="C117" i="2"/>
  <c r="B117" i="2"/>
  <c r="A117" i="2"/>
  <c r="I116" i="2"/>
  <c r="H116" i="2"/>
  <c r="G116" i="2"/>
  <c r="F116" i="2"/>
  <c r="E116" i="2"/>
  <c r="D116" i="2"/>
  <c r="C116" i="2"/>
  <c r="B116" i="2"/>
  <c r="A116" i="2"/>
  <c r="I115" i="2"/>
  <c r="H115" i="2"/>
  <c r="G115" i="2"/>
  <c r="F115" i="2"/>
  <c r="E115" i="2"/>
  <c r="D115" i="2"/>
  <c r="C115" i="2"/>
  <c r="B115" i="2"/>
  <c r="A115" i="2"/>
  <c r="I114" i="2"/>
  <c r="H114" i="2"/>
  <c r="G114" i="2"/>
  <c r="F114" i="2"/>
  <c r="E114" i="2"/>
  <c r="D114" i="2"/>
  <c r="C114" i="2"/>
  <c r="B114" i="2"/>
  <c r="A114" i="2"/>
  <c r="I113" i="2"/>
  <c r="H113" i="2"/>
  <c r="G113" i="2"/>
  <c r="F113" i="2"/>
  <c r="E113" i="2"/>
  <c r="D113" i="2"/>
  <c r="C113" i="2"/>
  <c r="B113" i="2"/>
  <c r="A113" i="2"/>
  <c r="I112" i="2"/>
  <c r="H112" i="2"/>
  <c r="G112" i="2"/>
  <c r="F112" i="2"/>
  <c r="E112" i="2"/>
  <c r="D112" i="2"/>
  <c r="C112" i="2"/>
  <c r="B112" i="2"/>
  <c r="A112" i="2"/>
  <c r="I111" i="2"/>
  <c r="H111" i="2"/>
  <c r="G111" i="2"/>
  <c r="F111" i="2"/>
  <c r="E111" i="2"/>
  <c r="D111" i="2"/>
  <c r="C111" i="2"/>
  <c r="B111" i="2"/>
  <c r="A111" i="2"/>
  <c r="I110" i="2"/>
  <c r="H110" i="2"/>
  <c r="G110" i="2"/>
  <c r="F110" i="2"/>
  <c r="E110" i="2"/>
  <c r="D110" i="2"/>
  <c r="C110" i="2"/>
  <c r="B110" i="2"/>
  <c r="A110" i="2"/>
  <c r="I109" i="2"/>
  <c r="H109" i="2"/>
  <c r="G109" i="2"/>
  <c r="F109" i="2"/>
  <c r="E109" i="2"/>
  <c r="D109" i="2"/>
  <c r="C109" i="2"/>
  <c r="B109" i="2"/>
  <c r="A109" i="2"/>
  <c r="I108" i="2"/>
  <c r="H108" i="2"/>
  <c r="G108" i="2"/>
  <c r="F108" i="2"/>
  <c r="E108" i="2"/>
  <c r="D108" i="2"/>
  <c r="C108" i="2"/>
  <c r="B108" i="2"/>
  <c r="A108" i="2"/>
  <c r="I107" i="2"/>
  <c r="H107" i="2"/>
  <c r="G107" i="2"/>
  <c r="F107" i="2"/>
  <c r="E107" i="2"/>
  <c r="D107" i="2"/>
  <c r="C107" i="2"/>
  <c r="B107" i="2"/>
  <c r="A107" i="2"/>
  <c r="I106" i="2"/>
  <c r="H106" i="2"/>
  <c r="G106" i="2"/>
  <c r="F106" i="2"/>
  <c r="E106" i="2"/>
  <c r="D106" i="2"/>
  <c r="C106" i="2"/>
  <c r="B106" i="2"/>
  <c r="A106" i="2"/>
  <c r="I105" i="2"/>
  <c r="H105" i="2"/>
  <c r="G105" i="2"/>
  <c r="F105" i="2"/>
  <c r="E105" i="2"/>
  <c r="D105" i="2"/>
  <c r="C105" i="2"/>
  <c r="B105" i="2"/>
  <c r="A105" i="2"/>
  <c r="I104" i="2"/>
  <c r="H104" i="2"/>
  <c r="G104" i="2"/>
  <c r="F104" i="2"/>
  <c r="E104" i="2"/>
  <c r="D104" i="2"/>
  <c r="C104" i="2"/>
  <c r="B104" i="2"/>
  <c r="A104" i="2"/>
  <c r="I103" i="2"/>
  <c r="H103" i="2"/>
  <c r="G103" i="2"/>
  <c r="F103" i="2"/>
  <c r="E103" i="2"/>
  <c r="D103" i="2"/>
  <c r="C103" i="2"/>
  <c r="B103" i="2"/>
  <c r="A103" i="2"/>
  <c r="I102" i="2"/>
  <c r="H102" i="2"/>
  <c r="G102" i="2"/>
  <c r="F102" i="2"/>
  <c r="E102" i="2"/>
  <c r="D102" i="2"/>
  <c r="C102" i="2"/>
  <c r="B102" i="2"/>
  <c r="A102" i="2"/>
  <c r="I101" i="2"/>
  <c r="H101" i="2"/>
  <c r="G101" i="2"/>
  <c r="F101" i="2"/>
  <c r="E101" i="2"/>
  <c r="D101" i="2"/>
  <c r="C101" i="2"/>
  <c r="B101" i="2"/>
  <c r="A101" i="2"/>
  <c r="I100" i="2"/>
  <c r="H100" i="2"/>
  <c r="G100" i="2"/>
  <c r="F100" i="2"/>
  <c r="E100" i="2"/>
  <c r="D100" i="2"/>
  <c r="C100" i="2"/>
  <c r="B100" i="2"/>
  <c r="A100" i="2"/>
  <c r="I99" i="2"/>
  <c r="H99" i="2"/>
  <c r="G99" i="2"/>
  <c r="F99" i="2"/>
  <c r="E99" i="2"/>
  <c r="D99" i="2"/>
  <c r="C99" i="2"/>
  <c r="B99" i="2"/>
  <c r="A99" i="2"/>
  <c r="I98" i="2"/>
  <c r="H98" i="2"/>
  <c r="G98" i="2"/>
  <c r="F98" i="2"/>
  <c r="E98" i="2"/>
  <c r="D98" i="2"/>
  <c r="C98" i="2"/>
  <c r="B98" i="2"/>
  <c r="A98" i="2"/>
  <c r="I97" i="2"/>
  <c r="H97" i="2"/>
  <c r="G97" i="2"/>
  <c r="F97" i="2"/>
  <c r="E97" i="2"/>
  <c r="D97" i="2"/>
  <c r="C97" i="2"/>
  <c r="B97" i="2"/>
  <c r="A97" i="2"/>
  <c r="I96" i="2"/>
  <c r="H96" i="2"/>
  <c r="G96" i="2"/>
  <c r="F96" i="2"/>
  <c r="E96" i="2"/>
  <c r="D96" i="2"/>
  <c r="C96" i="2"/>
  <c r="B96" i="2"/>
  <c r="A96" i="2"/>
  <c r="I95" i="2"/>
  <c r="H95" i="2"/>
  <c r="G95" i="2"/>
  <c r="F95" i="2"/>
  <c r="E95" i="2"/>
  <c r="D95" i="2"/>
  <c r="C95" i="2"/>
  <c r="B95" i="2"/>
  <c r="A95" i="2"/>
  <c r="I94" i="2"/>
  <c r="H94" i="2"/>
  <c r="G94" i="2"/>
  <c r="F94" i="2"/>
  <c r="E94" i="2"/>
  <c r="D94" i="2"/>
  <c r="C94" i="2"/>
  <c r="B94" i="2"/>
  <c r="A94" i="2"/>
  <c r="I93" i="2"/>
  <c r="H93" i="2"/>
  <c r="G93" i="2"/>
  <c r="F93" i="2"/>
  <c r="E93" i="2"/>
  <c r="D93" i="2"/>
  <c r="C93" i="2"/>
  <c r="B93" i="2"/>
  <c r="A93" i="2"/>
  <c r="I92" i="2"/>
  <c r="H92" i="2"/>
  <c r="G92" i="2"/>
  <c r="F92" i="2"/>
  <c r="E92" i="2"/>
  <c r="D92" i="2"/>
  <c r="C92" i="2"/>
  <c r="B92" i="2"/>
  <c r="A92" i="2"/>
  <c r="I91" i="2"/>
  <c r="H91" i="2"/>
  <c r="G91" i="2"/>
  <c r="F91" i="2"/>
  <c r="E91" i="2"/>
  <c r="D91" i="2"/>
  <c r="C91" i="2"/>
  <c r="B91" i="2"/>
  <c r="A91" i="2"/>
  <c r="I90" i="2"/>
  <c r="H90" i="2"/>
  <c r="G90" i="2"/>
  <c r="F90" i="2"/>
  <c r="E90" i="2"/>
  <c r="D90" i="2"/>
  <c r="C90" i="2"/>
  <c r="B90" i="2"/>
  <c r="A90" i="2"/>
  <c r="I89" i="2"/>
  <c r="H89" i="2"/>
  <c r="G89" i="2"/>
  <c r="F89" i="2"/>
  <c r="E89" i="2"/>
  <c r="D89" i="2"/>
  <c r="C89" i="2"/>
  <c r="B89" i="2"/>
  <c r="A89" i="2"/>
  <c r="I88" i="2"/>
  <c r="H88" i="2"/>
  <c r="G88" i="2"/>
  <c r="F88" i="2"/>
  <c r="E88" i="2"/>
  <c r="D88" i="2"/>
  <c r="C88" i="2"/>
  <c r="B88" i="2"/>
  <c r="A88" i="2"/>
  <c r="I87" i="2"/>
  <c r="H87" i="2"/>
  <c r="G87" i="2"/>
  <c r="F87" i="2"/>
  <c r="E87" i="2"/>
  <c r="D87" i="2"/>
  <c r="C87" i="2"/>
  <c r="B87" i="2"/>
  <c r="A87" i="2"/>
  <c r="I86" i="2"/>
  <c r="H86" i="2"/>
  <c r="G86" i="2"/>
  <c r="F86" i="2"/>
  <c r="E86" i="2"/>
  <c r="D86" i="2"/>
  <c r="C86" i="2"/>
  <c r="B86" i="2"/>
  <c r="A86" i="2"/>
  <c r="I85" i="2"/>
  <c r="H85" i="2"/>
  <c r="G85" i="2"/>
  <c r="F85" i="2"/>
  <c r="E85" i="2"/>
  <c r="D85" i="2"/>
  <c r="C85" i="2"/>
  <c r="B85" i="2"/>
  <c r="A85" i="2"/>
  <c r="I84" i="2"/>
  <c r="H84" i="2"/>
  <c r="G84" i="2"/>
  <c r="F84" i="2"/>
  <c r="E84" i="2"/>
  <c r="D84" i="2"/>
  <c r="C84" i="2"/>
  <c r="B84" i="2"/>
  <c r="A84" i="2"/>
  <c r="I83" i="2"/>
  <c r="H83" i="2"/>
  <c r="G83" i="2"/>
  <c r="F83" i="2"/>
  <c r="E83" i="2"/>
  <c r="D83" i="2"/>
  <c r="C83" i="2"/>
  <c r="B83" i="2"/>
  <c r="A83" i="2"/>
  <c r="I82" i="2"/>
  <c r="H82" i="2"/>
  <c r="G82" i="2"/>
  <c r="F82" i="2"/>
  <c r="E82" i="2"/>
  <c r="D82" i="2"/>
  <c r="C82" i="2"/>
  <c r="B82" i="2"/>
  <c r="A82" i="2"/>
  <c r="I81" i="2"/>
  <c r="H81" i="2"/>
  <c r="G81" i="2"/>
  <c r="F81" i="2"/>
  <c r="E81" i="2"/>
  <c r="D81" i="2"/>
  <c r="C81" i="2"/>
  <c r="B81" i="2"/>
  <c r="A81" i="2"/>
  <c r="I80" i="2"/>
  <c r="H80" i="2"/>
  <c r="G80" i="2"/>
  <c r="F80" i="2"/>
  <c r="E80" i="2"/>
  <c r="D80" i="2"/>
  <c r="C80" i="2"/>
  <c r="B80" i="2"/>
  <c r="A80" i="2"/>
  <c r="I79" i="2"/>
  <c r="H79" i="2"/>
  <c r="G79" i="2"/>
  <c r="F79" i="2"/>
  <c r="E79" i="2"/>
  <c r="D79" i="2"/>
  <c r="C79" i="2"/>
  <c r="B79" i="2"/>
  <c r="A79" i="2"/>
  <c r="I78" i="2"/>
  <c r="H78" i="2"/>
  <c r="G78" i="2"/>
  <c r="F78" i="2"/>
  <c r="E78" i="2"/>
  <c r="D78" i="2"/>
  <c r="C78" i="2"/>
  <c r="B78" i="2"/>
  <c r="A78" i="2"/>
  <c r="I77" i="2"/>
  <c r="H77" i="2"/>
  <c r="G77" i="2"/>
  <c r="F77" i="2"/>
  <c r="E77" i="2"/>
  <c r="D77" i="2"/>
  <c r="C77" i="2"/>
  <c r="B77" i="2"/>
  <c r="A77" i="2"/>
  <c r="I76" i="2"/>
  <c r="H76" i="2"/>
  <c r="G76" i="2"/>
  <c r="F76" i="2"/>
  <c r="E76" i="2"/>
  <c r="D76" i="2"/>
  <c r="C76" i="2"/>
  <c r="B76" i="2"/>
  <c r="A76" i="2"/>
  <c r="I75" i="2"/>
  <c r="H75" i="2"/>
  <c r="G75" i="2"/>
  <c r="F75" i="2"/>
  <c r="E75" i="2"/>
  <c r="D75" i="2"/>
  <c r="C75" i="2"/>
  <c r="B75" i="2"/>
  <c r="A75" i="2"/>
  <c r="I74" i="2"/>
  <c r="H74" i="2"/>
  <c r="G74" i="2"/>
  <c r="F74" i="2"/>
  <c r="E74" i="2"/>
  <c r="D74" i="2"/>
  <c r="C74" i="2"/>
  <c r="B74" i="2"/>
  <c r="A74" i="2"/>
  <c r="I73" i="2"/>
  <c r="H73" i="2"/>
  <c r="G73" i="2"/>
  <c r="F73" i="2"/>
  <c r="E73" i="2"/>
  <c r="D73" i="2"/>
  <c r="C73" i="2"/>
  <c r="B73" i="2"/>
  <c r="A73" i="2"/>
  <c r="I72" i="2"/>
  <c r="H72" i="2"/>
  <c r="G72" i="2"/>
  <c r="F72" i="2"/>
  <c r="E72" i="2"/>
  <c r="D72" i="2"/>
  <c r="C72" i="2"/>
  <c r="B72" i="2"/>
  <c r="A72" i="2"/>
  <c r="I71" i="2"/>
  <c r="H71" i="2"/>
  <c r="G71" i="2"/>
  <c r="F71" i="2"/>
  <c r="E71" i="2"/>
  <c r="D71" i="2"/>
  <c r="C71" i="2"/>
  <c r="B71" i="2"/>
  <c r="A71" i="2"/>
  <c r="I70" i="2"/>
  <c r="H70" i="2"/>
  <c r="G70" i="2"/>
  <c r="F70" i="2"/>
  <c r="E70" i="2"/>
  <c r="D70" i="2"/>
  <c r="C70" i="2"/>
  <c r="B70" i="2"/>
  <c r="A70" i="2"/>
  <c r="I69" i="2"/>
  <c r="H69" i="2"/>
  <c r="G69" i="2"/>
  <c r="F69" i="2"/>
  <c r="E69" i="2"/>
  <c r="D69" i="2"/>
  <c r="C69" i="2"/>
  <c r="B69" i="2"/>
  <c r="A69" i="2"/>
  <c r="I68" i="2"/>
  <c r="H68" i="2"/>
  <c r="G68" i="2"/>
  <c r="F68" i="2"/>
  <c r="E68" i="2"/>
  <c r="D68" i="2"/>
  <c r="C68" i="2"/>
  <c r="B68" i="2"/>
  <c r="A68" i="2"/>
  <c r="I67" i="2"/>
  <c r="H67" i="2"/>
  <c r="G67" i="2"/>
  <c r="F67" i="2"/>
  <c r="E67" i="2"/>
  <c r="D67" i="2"/>
  <c r="C67" i="2"/>
  <c r="B67" i="2"/>
  <c r="A67" i="2"/>
  <c r="I66" i="2"/>
  <c r="H66" i="2"/>
  <c r="G66" i="2"/>
  <c r="F66" i="2"/>
  <c r="E66" i="2"/>
  <c r="D66" i="2"/>
  <c r="C66" i="2"/>
  <c r="B66" i="2"/>
  <c r="A66" i="2"/>
  <c r="I65" i="2"/>
  <c r="H65" i="2"/>
  <c r="G65" i="2"/>
  <c r="F65" i="2"/>
  <c r="E65" i="2"/>
  <c r="D65" i="2"/>
  <c r="C65" i="2"/>
  <c r="B65" i="2"/>
  <c r="A65" i="2"/>
  <c r="I64" i="2"/>
  <c r="H64" i="2"/>
  <c r="G64" i="2"/>
  <c r="F64" i="2"/>
  <c r="E64" i="2"/>
  <c r="D64" i="2"/>
  <c r="C64" i="2"/>
  <c r="B64" i="2"/>
  <c r="A64" i="2"/>
  <c r="I63" i="2"/>
  <c r="H63" i="2"/>
  <c r="G63" i="2"/>
  <c r="F63" i="2"/>
  <c r="E63" i="2"/>
  <c r="D63" i="2"/>
  <c r="C63" i="2"/>
  <c r="B63" i="2"/>
  <c r="A63" i="2"/>
  <c r="I62" i="2"/>
  <c r="H62" i="2"/>
  <c r="G62" i="2"/>
  <c r="F62" i="2"/>
  <c r="E62" i="2"/>
  <c r="D62" i="2"/>
  <c r="C62" i="2"/>
  <c r="B62" i="2"/>
  <c r="A62" i="2"/>
  <c r="I61" i="2"/>
  <c r="H61" i="2"/>
  <c r="G61" i="2"/>
  <c r="F61" i="2"/>
  <c r="E61" i="2"/>
  <c r="D61" i="2"/>
  <c r="C61" i="2"/>
  <c r="B61" i="2"/>
  <c r="A61" i="2"/>
  <c r="I60" i="2"/>
  <c r="H60" i="2"/>
  <c r="G60" i="2"/>
  <c r="F60" i="2"/>
  <c r="E60" i="2"/>
  <c r="D60" i="2"/>
  <c r="C60" i="2"/>
  <c r="B60" i="2"/>
  <c r="A60" i="2"/>
  <c r="I59" i="2"/>
  <c r="H59" i="2"/>
  <c r="G59" i="2"/>
  <c r="F59" i="2"/>
  <c r="E59" i="2"/>
  <c r="D59" i="2"/>
  <c r="C59" i="2"/>
  <c r="B59" i="2"/>
  <c r="A59" i="2"/>
  <c r="I58" i="2"/>
  <c r="H58" i="2"/>
  <c r="G58" i="2"/>
  <c r="F58" i="2"/>
  <c r="E58" i="2"/>
  <c r="D58" i="2"/>
  <c r="C58" i="2"/>
  <c r="B58" i="2"/>
  <c r="A58" i="2"/>
  <c r="I57" i="2"/>
  <c r="H57" i="2"/>
  <c r="G57" i="2"/>
  <c r="F57" i="2"/>
  <c r="E57" i="2"/>
  <c r="D57" i="2"/>
  <c r="C57" i="2"/>
  <c r="B57" i="2"/>
  <c r="A57" i="2"/>
  <c r="I56" i="2"/>
  <c r="H56" i="2"/>
  <c r="G56" i="2"/>
  <c r="F56" i="2"/>
  <c r="E56" i="2"/>
  <c r="D56" i="2"/>
  <c r="C56" i="2"/>
  <c r="B56" i="2"/>
  <c r="A56" i="2"/>
  <c r="I55" i="2"/>
  <c r="H55" i="2"/>
  <c r="G55" i="2"/>
  <c r="F55" i="2"/>
  <c r="E55" i="2"/>
  <c r="D55" i="2"/>
  <c r="C55" i="2"/>
  <c r="B55" i="2"/>
  <c r="A55" i="2"/>
  <c r="I54" i="2"/>
  <c r="H54" i="2"/>
  <c r="G54" i="2"/>
  <c r="F54" i="2"/>
  <c r="E54" i="2"/>
  <c r="D54" i="2"/>
  <c r="C54" i="2"/>
  <c r="B54" i="2"/>
  <c r="A54" i="2"/>
  <c r="I53" i="2"/>
  <c r="H53" i="2"/>
  <c r="G53" i="2"/>
  <c r="F53" i="2"/>
  <c r="E53" i="2"/>
  <c r="D53" i="2"/>
  <c r="C53" i="2"/>
  <c r="B53" i="2"/>
  <c r="A53" i="2"/>
  <c r="I52" i="2"/>
  <c r="H52" i="2"/>
  <c r="G52" i="2"/>
  <c r="F52" i="2"/>
  <c r="E52" i="2"/>
  <c r="D52" i="2"/>
  <c r="C52" i="2"/>
  <c r="B52" i="2"/>
  <c r="A52" i="2"/>
  <c r="I51" i="2"/>
  <c r="H51" i="2"/>
  <c r="G51" i="2"/>
  <c r="F51" i="2"/>
  <c r="E51" i="2"/>
  <c r="D51" i="2"/>
  <c r="C51" i="2"/>
  <c r="B51" i="2"/>
  <c r="A51" i="2"/>
  <c r="I50" i="2"/>
  <c r="H50" i="2"/>
  <c r="G50" i="2"/>
  <c r="F50" i="2"/>
  <c r="E50" i="2"/>
  <c r="D50" i="2"/>
  <c r="C50" i="2"/>
  <c r="B50" i="2"/>
  <c r="A50" i="2"/>
  <c r="I49" i="2"/>
  <c r="H49" i="2"/>
  <c r="G49" i="2"/>
  <c r="F49" i="2"/>
  <c r="E49" i="2"/>
  <c r="D49" i="2"/>
  <c r="C49" i="2"/>
  <c r="B49" i="2"/>
  <c r="A49" i="2"/>
  <c r="I48" i="2"/>
  <c r="H48" i="2"/>
  <c r="G48" i="2"/>
  <c r="F48" i="2"/>
  <c r="E48" i="2"/>
  <c r="D48" i="2"/>
  <c r="C48" i="2"/>
  <c r="B48" i="2"/>
  <c r="A48" i="2"/>
  <c r="I47" i="2"/>
  <c r="H47" i="2"/>
  <c r="G47" i="2"/>
  <c r="F47" i="2"/>
  <c r="E47" i="2"/>
  <c r="D47" i="2"/>
  <c r="C47" i="2"/>
  <c r="B47" i="2"/>
  <c r="A47" i="2"/>
  <c r="I46" i="2"/>
  <c r="H46" i="2"/>
  <c r="G46" i="2"/>
  <c r="F46" i="2"/>
  <c r="E46" i="2"/>
  <c r="D46" i="2"/>
  <c r="C46" i="2"/>
  <c r="B46" i="2"/>
  <c r="A46" i="2"/>
  <c r="I45" i="2"/>
  <c r="H45" i="2"/>
  <c r="G45" i="2"/>
  <c r="F45" i="2"/>
  <c r="E45" i="2"/>
  <c r="D45" i="2"/>
  <c r="C45" i="2"/>
  <c r="B45" i="2"/>
  <c r="A45" i="2"/>
  <c r="I44" i="2"/>
  <c r="H44" i="2"/>
  <c r="G44" i="2"/>
  <c r="F44" i="2"/>
  <c r="E44" i="2"/>
  <c r="D44" i="2"/>
  <c r="C44" i="2"/>
  <c r="B44" i="2"/>
  <c r="A44" i="2"/>
  <c r="I43" i="2"/>
  <c r="H43" i="2"/>
  <c r="G43" i="2"/>
  <c r="F43" i="2"/>
  <c r="E43" i="2"/>
  <c r="D43" i="2"/>
  <c r="C43" i="2"/>
  <c r="B43" i="2"/>
  <c r="A43" i="2"/>
  <c r="I42" i="2"/>
  <c r="H42" i="2"/>
  <c r="G42" i="2"/>
  <c r="F42" i="2"/>
  <c r="E42" i="2"/>
  <c r="D42" i="2"/>
  <c r="C42" i="2"/>
  <c r="B42" i="2"/>
  <c r="A42" i="2"/>
  <c r="I41" i="2"/>
  <c r="H41" i="2"/>
  <c r="G41" i="2"/>
  <c r="F41" i="2"/>
  <c r="E41" i="2"/>
  <c r="D41" i="2"/>
  <c r="C41" i="2"/>
  <c r="B41" i="2"/>
  <c r="A41" i="2"/>
  <c r="I40" i="2"/>
  <c r="H40" i="2"/>
  <c r="G40" i="2"/>
  <c r="F40" i="2"/>
  <c r="E40" i="2"/>
  <c r="D40" i="2"/>
  <c r="C40" i="2"/>
  <c r="B40" i="2"/>
  <c r="A40" i="2"/>
  <c r="I39" i="2"/>
  <c r="H39" i="2"/>
  <c r="G39" i="2"/>
  <c r="F39" i="2"/>
  <c r="E39" i="2"/>
  <c r="D39" i="2"/>
  <c r="C39" i="2"/>
  <c r="B39" i="2"/>
  <c r="A39" i="2"/>
  <c r="I38" i="2"/>
  <c r="H38" i="2"/>
  <c r="G38" i="2"/>
  <c r="F38" i="2"/>
  <c r="E38" i="2"/>
  <c r="D38" i="2"/>
  <c r="C38" i="2"/>
  <c r="B38" i="2"/>
  <c r="A38" i="2"/>
  <c r="I37" i="2"/>
  <c r="H37" i="2"/>
  <c r="G37" i="2"/>
  <c r="F37" i="2"/>
  <c r="E37" i="2"/>
  <c r="D37" i="2"/>
  <c r="C37" i="2"/>
  <c r="B37" i="2"/>
  <c r="A37" i="2"/>
  <c r="I36" i="2"/>
  <c r="H36" i="2"/>
  <c r="G36" i="2"/>
  <c r="F36" i="2"/>
  <c r="E36" i="2"/>
  <c r="D36" i="2"/>
  <c r="C36" i="2"/>
  <c r="B36" i="2"/>
  <c r="A36" i="2"/>
  <c r="I35" i="2"/>
  <c r="H35" i="2"/>
  <c r="G35" i="2"/>
  <c r="F35" i="2"/>
  <c r="E35" i="2"/>
  <c r="D35" i="2"/>
  <c r="C35" i="2"/>
  <c r="B35" i="2"/>
  <c r="A35" i="2"/>
  <c r="I34" i="2"/>
  <c r="H34" i="2"/>
  <c r="G34" i="2"/>
  <c r="F34" i="2"/>
  <c r="E34" i="2"/>
  <c r="D34" i="2"/>
  <c r="C34" i="2"/>
  <c r="B34" i="2"/>
  <c r="A34" i="2"/>
  <c r="I33" i="2"/>
  <c r="H33" i="2"/>
  <c r="G33" i="2"/>
  <c r="F33" i="2"/>
  <c r="E33" i="2"/>
  <c r="D33" i="2"/>
  <c r="C33" i="2"/>
  <c r="B33" i="2"/>
  <c r="A33" i="2"/>
  <c r="I32" i="2"/>
  <c r="H32" i="2"/>
  <c r="G32" i="2"/>
  <c r="F32" i="2"/>
  <c r="E32" i="2"/>
  <c r="D32" i="2"/>
  <c r="C32" i="2"/>
  <c r="B32" i="2"/>
  <c r="A32" i="2"/>
  <c r="I31" i="2"/>
  <c r="H31" i="2"/>
  <c r="G31" i="2"/>
  <c r="F31" i="2"/>
  <c r="E31" i="2"/>
  <c r="D31" i="2"/>
  <c r="C31" i="2"/>
  <c r="B31" i="2"/>
  <c r="A31" i="2"/>
  <c r="I30" i="2"/>
  <c r="H30" i="2"/>
  <c r="G30" i="2"/>
  <c r="F30" i="2"/>
  <c r="E30" i="2"/>
  <c r="D30" i="2"/>
  <c r="C30" i="2"/>
  <c r="B30" i="2"/>
  <c r="A30" i="2"/>
  <c r="I29" i="2"/>
  <c r="H29" i="2"/>
  <c r="G29" i="2"/>
  <c r="F29" i="2"/>
  <c r="E29" i="2"/>
  <c r="D29" i="2"/>
  <c r="C29" i="2"/>
  <c r="B29" i="2"/>
  <c r="A29" i="2"/>
  <c r="I28" i="2"/>
  <c r="H28" i="2"/>
  <c r="G28" i="2"/>
  <c r="F28" i="2"/>
  <c r="E28" i="2"/>
  <c r="D28" i="2"/>
  <c r="C28" i="2"/>
  <c r="B28" i="2"/>
  <c r="A28" i="2"/>
  <c r="I27" i="2"/>
  <c r="H27" i="2"/>
  <c r="G27" i="2"/>
  <c r="F27" i="2"/>
  <c r="E27" i="2"/>
  <c r="D27" i="2"/>
  <c r="C27" i="2"/>
  <c r="B27" i="2"/>
  <c r="A27" i="2"/>
  <c r="I26" i="2"/>
  <c r="H26" i="2"/>
  <c r="G26" i="2"/>
  <c r="F26" i="2"/>
  <c r="E26" i="2"/>
  <c r="D26" i="2"/>
  <c r="C26" i="2"/>
  <c r="B26" i="2"/>
  <c r="A26" i="2"/>
  <c r="I25" i="2"/>
  <c r="H25" i="2"/>
  <c r="G25" i="2"/>
  <c r="F25" i="2"/>
  <c r="E25" i="2"/>
  <c r="D25" i="2"/>
  <c r="C25" i="2"/>
  <c r="B25" i="2"/>
  <c r="A25" i="2"/>
  <c r="I24" i="2"/>
  <c r="H24" i="2"/>
  <c r="G24" i="2"/>
  <c r="F24" i="2"/>
  <c r="E24" i="2"/>
  <c r="D24" i="2"/>
  <c r="C24" i="2"/>
  <c r="B24" i="2"/>
  <c r="A24" i="2"/>
  <c r="I23" i="2"/>
  <c r="H23" i="2"/>
  <c r="G23" i="2"/>
  <c r="F23" i="2"/>
  <c r="E23" i="2"/>
  <c r="D23" i="2"/>
  <c r="C23" i="2"/>
  <c r="B23" i="2"/>
  <c r="A23" i="2"/>
  <c r="I22" i="2"/>
  <c r="H22" i="2"/>
  <c r="G22" i="2"/>
  <c r="F22" i="2"/>
  <c r="E22" i="2"/>
  <c r="D22" i="2"/>
  <c r="C22" i="2"/>
  <c r="B22" i="2"/>
  <c r="A22" i="2"/>
  <c r="I21" i="2"/>
  <c r="H21" i="2"/>
  <c r="G21" i="2"/>
  <c r="F21" i="2"/>
  <c r="E21" i="2"/>
  <c r="D21" i="2"/>
  <c r="C21" i="2"/>
  <c r="B21" i="2"/>
  <c r="A21" i="2"/>
  <c r="I20" i="2"/>
  <c r="H20" i="2"/>
  <c r="G20" i="2"/>
  <c r="F20" i="2"/>
  <c r="E20" i="2"/>
  <c r="D20" i="2"/>
  <c r="C20" i="2"/>
  <c r="B20" i="2"/>
  <c r="A20" i="2"/>
  <c r="I19" i="2"/>
  <c r="H19" i="2"/>
  <c r="G19" i="2"/>
  <c r="F19" i="2"/>
  <c r="E19" i="2"/>
  <c r="D19" i="2"/>
  <c r="C19" i="2"/>
  <c r="B19" i="2"/>
  <c r="A19" i="2"/>
  <c r="I18" i="2"/>
  <c r="H18" i="2"/>
  <c r="G18" i="2"/>
  <c r="F18" i="2"/>
  <c r="E18" i="2"/>
  <c r="D18" i="2"/>
  <c r="C18" i="2"/>
  <c r="B18" i="2"/>
  <c r="A18" i="2"/>
  <c r="I17" i="2"/>
  <c r="H17" i="2"/>
  <c r="G17" i="2"/>
  <c r="F17" i="2"/>
  <c r="E17" i="2"/>
  <c r="D17" i="2"/>
  <c r="C17" i="2"/>
  <c r="B17" i="2"/>
  <c r="A17" i="2"/>
  <c r="I16" i="2"/>
  <c r="H16" i="2"/>
  <c r="G16" i="2"/>
  <c r="F16" i="2"/>
  <c r="E16" i="2"/>
  <c r="D16" i="2"/>
  <c r="C16" i="2"/>
  <c r="B16" i="2"/>
  <c r="A16" i="2"/>
  <c r="I15" i="2"/>
  <c r="H15" i="2"/>
  <c r="G15" i="2"/>
  <c r="F15" i="2"/>
  <c r="E15" i="2"/>
  <c r="D15" i="2"/>
  <c r="C15" i="2"/>
  <c r="B15" i="2"/>
  <c r="A15" i="2"/>
  <c r="I14" i="2"/>
  <c r="H14" i="2"/>
  <c r="G14" i="2"/>
  <c r="F14" i="2"/>
  <c r="E14" i="2"/>
  <c r="D14" i="2"/>
  <c r="C14" i="2"/>
  <c r="B14" i="2"/>
  <c r="A14" i="2"/>
  <c r="I13" i="2"/>
  <c r="H13" i="2"/>
  <c r="G13" i="2"/>
  <c r="F13" i="2"/>
  <c r="E13" i="2"/>
  <c r="D13" i="2"/>
  <c r="C13" i="2"/>
  <c r="B13" i="2"/>
  <c r="A13" i="2"/>
  <c r="I12" i="2"/>
  <c r="H12" i="2"/>
  <c r="G12" i="2"/>
  <c r="F12" i="2"/>
  <c r="E12" i="2"/>
  <c r="D12" i="2"/>
  <c r="C12" i="2"/>
  <c r="B12" i="2"/>
  <c r="A12" i="2"/>
  <c r="I11" i="2"/>
  <c r="H11" i="2"/>
  <c r="G11" i="2"/>
  <c r="F11" i="2"/>
  <c r="E11" i="2"/>
  <c r="D11" i="2"/>
  <c r="C11" i="2"/>
  <c r="B11" i="2"/>
  <c r="A11" i="2"/>
  <c r="I10" i="2"/>
  <c r="H10" i="2"/>
  <c r="G10" i="2"/>
  <c r="F10" i="2"/>
  <c r="E10" i="2"/>
  <c r="D10" i="2"/>
  <c r="C10" i="2"/>
  <c r="B10" i="2"/>
  <c r="A10" i="2"/>
  <c r="I9" i="2"/>
  <c r="H9" i="2"/>
  <c r="G9" i="2"/>
  <c r="F9" i="2"/>
  <c r="E9" i="2"/>
  <c r="D9" i="2"/>
  <c r="C9" i="2"/>
  <c r="B9" i="2"/>
  <c r="A9" i="2"/>
  <c r="I8" i="2"/>
  <c r="H8" i="2"/>
  <c r="G8" i="2"/>
  <c r="F8" i="2"/>
  <c r="E8" i="2"/>
  <c r="D8" i="2"/>
  <c r="C8" i="2"/>
  <c r="B8" i="2"/>
  <c r="A8" i="2"/>
  <c r="I7" i="2"/>
  <c r="H7" i="2"/>
  <c r="G7" i="2"/>
  <c r="F7" i="2"/>
  <c r="E7" i="2"/>
  <c r="D7" i="2"/>
  <c r="C7" i="2"/>
  <c r="B7" i="2"/>
  <c r="A7" i="2"/>
  <c r="I6" i="2"/>
  <c r="H6" i="2"/>
  <c r="G6" i="2"/>
  <c r="F6" i="2"/>
  <c r="E6" i="2"/>
  <c r="D6" i="2"/>
  <c r="C6" i="2"/>
  <c r="B6" i="2"/>
  <c r="A6" i="2"/>
  <c r="I5" i="2"/>
  <c r="H5" i="2"/>
  <c r="G5" i="2"/>
  <c r="F5" i="2"/>
  <c r="E5" i="2"/>
  <c r="D5" i="2"/>
  <c r="C5" i="2"/>
  <c r="B5" i="2"/>
  <c r="A5" i="2"/>
  <c r="I4" i="2"/>
  <c r="H4" i="2"/>
  <c r="G4" i="2"/>
  <c r="F4" i="2"/>
  <c r="E4" i="2"/>
  <c r="D4" i="2"/>
  <c r="C4" i="2"/>
  <c r="B4" i="2"/>
  <c r="A4" i="2"/>
  <c r="I3" i="2"/>
  <c r="H3" i="2"/>
  <c r="G3" i="2"/>
  <c r="F3" i="2"/>
  <c r="E3" i="2"/>
  <c r="D3" i="2"/>
  <c r="C3" i="2"/>
  <c r="B3" i="2"/>
  <c r="A3" i="2"/>
  <c r="I2" i="2"/>
  <c r="H2" i="2"/>
  <c r="G2" i="2"/>
  <c r="F2" i="2"/>
  <c r="E2" i="2"/>
  <c r="D2" i="2"/>
  <c r="C2" i="2"/>
  <c r="B2" i="2"/>
  <c r="A2" i="2"/>
  <c r="F121" i="1"/>
  <c r="E121" i="1"/>
  <c r="D121" i="1"/>
  <c r="C121" i="1"/>
  <c r="B121" i="1"/>
  <c r="A121" i="1"/>
  <c r="F120" i="1"/>
  <c r="E120" i="1"/>
  <c r="D120" i="1"/>
  <c r="C120" i="1"/>
  <c r="B120" i="1"/>
  <c r="A120" i="1"/>
  <c r="F119" i="1"/>
  <c r="E119" i="1"/>
  <c r="D119" i="1"/>
  <c r="C119" i="1"/>
  <c r="B119" i="1"/>
  <c r="A119" i="1"/>
  <c r="F118" i="1"/>
  <c r="E118" i="1"/>
  <c r="D118" i="1"/>
  <c r="C118" i="1"/>
  <c r="B118" i="1"/>
  <c r="A118" i="1"/>
  <c r="F117" i="1"/>
  <c r="E117" i="1"/>
  <c r="D117" i="1"/>
  <c r="C117" i="1"/>
  <c r="B117" i="1"/>
  <c r="A117" i="1"/>
  <c r="F116" i="1"/>
  <c r="E116" i="1"/>
  <c r="D116" i="1"/>
  <c r="C116" i="1"/>
  <c r="B116" i="1"/>
  <c r="A116" i="1"/>
  <c r="F115" i="1"/>
  <c r="E115" i="1"/>
  <c r="D115" i="1"/>
  <c r="C115" i="1"/>
  <c r="B115" i="1"/>
  <c r="A115" i="1"/>
  <c r="F114" i="1"/>
  <c r="E114" i="1"/>
  <c r="D114" i="1"/>
  <c r="C114" i="1"/>
  <c r="B114" i="1"/>
  <c r="A114" i="1"/>
  <c r="F113" i="1"/>
  <c r="E113" i="1"/>
  <c r="D113" i="1"/>
  <c r="C113" i="1"/>
  <c r="B113" i="1"/>
  <c r="A113" i="1"/>
  <c r="F112" i="1"/>
  <c r="E112" i="1"/>
  <c r="D112" i="1"/>
  <c r="C112" i="1"/>
  <c r="B112" i="1"/>
  <c r="A112" i="1"/>
  <c r="F111" i="1"/>
  <c r="E111" i="1"/>
  <c r="D111" i="1"/>
  <c r="C111" i="1"/>
  <c r="B111" i="1"/>
  <c r="A111" i="1"/>
  <c r="F110" i="1"/>
  <c r="E110" i="1"/>
  <c r="D110" i="1"/>
  <c r="C110" i="1"/>
  <c r="B110" i="1"/>
  <c r="A110" i="1"/>
  <c r="F109" i="1"/>
  <c r="E109" i="1"/>
  <c r="D109" i="1"/>
  <c r="C109" i="1"/>
  <c r="B109" i="1"/>
  <c r="A109" i="1"/>
  <c r="F108" i="1"/>
  <c r="E108" i="1"/>
  <c r="D108" i="1"/>
  <c r="C108" i="1"/>
  <c r="B108" i="1"/>
  <c r="A108" i="1"/>
  <c r="F107" i="1"/>
  <c r="E107" i="1"/>
  <c r="D107" i="1"/>
  <c r="C107" i="1"/>
  <c r="B107" i="1"/>
  <c r="A107" i="1"/>
  <c r="F106" i="1"/>
  <c r="E106" i="1"/>
  <c r="D106" i="1"/>
  <c r="C106" i="1"/>
  <c r="B106" i="1"/>
  <c r="A106" i="1"/>
  <c r="F105" i="1"/>
  <c r="E105" i="1"/>
  <c r="D105" i="1"/>
  <c r="C105" i="1"/>
  <c r="B105" i="1"/>
  <c r="A105" i="1"/>
  <c r="F104" i="1"/>
  <c r="E104" i="1"/>
  <c r="D104" i="1"/>
  <c r="C104" i="1"/>
  <c r="B104" i="1"/>
  <c r="A104" i="1"/>
  <c r="F103" i="1"/>
  <c r="E103" i="1"/>
  <c r="D103" i="1"/>
  <c r="C103" i="1"/>
  <c r="B103" i="1"/>
  <c r="A103" i="1"/>
  <c r="F102" i="1"/>
  <c r="E102" i="1"/>
  <c r="D102" i="1"/>
  <c r="C102" i="1"/>
  <c r="B102" i="1"/>
  <c r="A102" i="1"/>
  <c r="F101" i="1"/>
  <c r="E101" i="1"/>
  <c r="D101" i="1"/>
  <c r="C101" i="1"/>
  <c r="B101" i="1"/>
  <c r="A101" i="1"/>
  <c r="F100" i="1"/>
  <c r="E100" i="1"/>
  <c r="D100" i="1"/>
  <c r="C100" i="1"/>
  <c r="B100" i="1"/>
  <c r="A100" i="1"/>
  <c r="F99" i="1"/>
  <c r="E99" i="1"/>
  <c r="D99" i="1"/>
  <c r="C99" i="1"/>
  <c r="B99" i="1"/>
  <c r="A99" i="1"/>
  <c r="F98" i="1"/>
  <c r="E98" i="1"/>
  <c r="D98" i="1"/>
  <c r="C98" i="1"/>
  <c r="B98" i="1"/>
  <c r="A98" i="1"/>
  <c r="F97" i="1"/>
  <c r="E97" i="1"/>
  <c r="D97" i="1"/>
  <c r="C97" i="1"/>
  <c r="B97" i="1"/>
  <c r="A97" i="1"/>
  <c r="F96" i="1"/>
  <c r="E96" i="1"/>
  <c r="D96" i="1"/>
  <c r="C96" i="1"/>
  <c r="B96" i="1"/>
  <c r="A96" i="1"/>
  <c r="F95" i="1"/>
  <c r="E95" i="1"/>
  <c r="D95" i="1"/>
  <c r="C95" i="1"/>
  <c r="B95" i="1"/>
  <c r="A95" i="1"/>
  <c r="F94" i="1"/>
  <c r="E94" i="1"/>
  <c r="D94" i="1"/>
  <c r="C94" i="1"/>
  <c r="B94" i="1"/>
  <c r="A94" i="1"/>
  <c r="F93" i="1"/>
  <c r="E93" i="1"/>
  <c r="D93" i="1"/>
  <c r="C93" i="1"/>
  <c r="B93" i="1"/>
  <c r="A93" i="1"/>
  <c r="F92" i="1"/>
  <c r="E92" i="1"/>
  <c r="D92" i="1"/>
  <c r="C92" i="1"/>
  <c r="B92" i="1"/>
  <c r="A92" i="1"/>
  <c r="F91" i="1"/>
  <c r="E91" i="1"/>
  <c r="D91" i="1"/>
  <c r="C91" i="1"/>
  <c r="B91" i="1"/>
  <c r="A91" i="1"/>
  <c r="F90" i="1"/>
  <c r="E90" i="1"/>
  <c r="D90" i="1"/>
  <c r="C90" i="1"/>
  <c r="B90" i="1"/>
  <c r="A90" i="1"/>
  <c r="F89" i="1"/>
  <c r="E89" i="1"/>
  <c r="D89" i="1"/>
  <c r="C89" i="1"/>
  <c r="B89" i="1"/>
  <c r="A89" i="1"/>
  <c r="F88" i="1"/>
  <c r="E88" i="1"/>
  <c r="D88" i="1"/>
  <c r="C88" i="1"/>
  <c r="B88" i="1"/>
  <c r="A88" i="1"/>
  <c r="F87" i="1"/>
  <c r="E87" i="1"/>
  <c r="D87" i="1"/>
  <c r="C87" i="1"/>
  <c r="B87" i="1"/>
  <c r="A87" i="1"/>
  <c r="F86" i="1"/>
  <c r="E86" i="1"/>
  <c r="D86" i="1"/>
  <c r="C86" i="1"/>
  <c r="B86" i="1"/>
  <c r="A86" i="1"/>
  <c r="F85" i="1"/>
  <c r="E85" i="1"/>
  <c r="D85" i="1"/>
  <c r="C85" i="1"/>
  <c r="B85" i="1"/>
  <c r="A85" i="1"/>
  <c r="F84" i="1"/>
  <c r="E84" i="1"/>
  <c r="D84" i="1"/>
  <c r="C84" i="1"/>
  <c r="B84" i="1"/>
  <c r="A84" i="1"/>
  <c r="F83" i="1"/>
  <c r="E83" i="1"/>
  <c r="D83" i="1"/>
  <c r="C83" i="1"/>
  <c r="B83" i="1"/>
  <c r="A83" i="1"/>
  <c r="F82" i="1"/>
  <c r="E82" i="1"/>
  <c r="D82" i="1"/>
  <c r="C82" i="1"/>
  <c r="B82" i="1"/>
  <c r="A82" i="1"/>
  <c r="F81" i="1"/>
  <c r="E81" i="1"/>
  <c r="D81" i="1"/>
  <c r="C81" i="1"/>
  <c r="B81" i="1"/>
  <c r="A81" i="1"/>
  <c r="F80" i="1"/>
  <c r="E80" i="1"/>
  <c r="D80" i="1"/>
  <c r="C80" i="1"/>
  <c r="B80" i="1"/>
  <c r="A80" i="1"/>
  <c r="F79" i="1"/>
  <c r="E79" i="1"/>
  <c r="D79" i="1"/>
  <c r="C79" i="1"/>
  <c r="B79" i="1"/>
  <c r="A79" i="1"/>
  <c r="F78" i="1"/>
  <c r="E78" i="1"/>
  <c r="D78" i="1"/>
  <c r="C78" i="1"/>
  <c r="B78" i="1"/>
  <c r="A78" i="1"/>
  <c r="F77" i="1"/>
  <c r="E77" i="1"/>
  <c r="D77" i="1"/>
  <c r="C77" i="1"/>
  <c r="B77" i="1"/>
  <c r="A77" i="1"/>
  <c r="F76" i="1"/>
  <c r="E76" i="1"/>
  <c r="D76" i="1"/>
  <c r="C76" i="1"/>
  <c r="B76" i="1"/>
  <c r="A76" i="1"/>
  <c r="F75" i="1"/>
  <c r="E75" i="1"/>
  <c r="D75" i="1"/>
  <c r="C75" i="1"/>
  <c r="B75" i="1"/>
  <c r="A75" i="1"/>
  <c r="F74" i="1"/>
  <c r="E74" i="1"/>
  <c r="D74" i="1"/>
  <c r="C74" i="1"/>
  <c r="B74" i="1"/>
  <c r="A74" i="1"/>
  <c r="F73" i="1"/>
  <c r="E73" i="1"/>
  <c r="D73" i="1"/>
  <c r="C73" i="1"/>
  <c r="B73" i="1"/>
  <c r="A73" i="1"/>
  <c r="F72" i="1"/>
  <c r="E72" i="1"/>
  <c r="D72" i="1"/>
  <c r="C72" i="1"/>
  <c r="B72" i="1"/>
  <c r="A72" i="1"/>
  <c r="F71" i="1"/>
  <c r="E71" i="1"/>
  <c r="D71" i="1"/>
  <c r="C71" i="1"/>
  <c r="B71" i="1"/>
  <c r="A71" i="1"/>
  <c r="F70" i="1"/>
  <c r="E70" i="1"/>
  <c r="D70" i="1"/>
  <c r="C70" i="1"/>
  <c r="B70" i="1"/>
  <c r="A70" i="1"/>
  <c r="F69" i="1"/>
  <c r="E69" i="1"/>
  <c r="D69" i="1"/>
  <c r="C69" i="1"/>
  <c r="B69" i="1"/>
  <c r="A69" i="1"/>
  <c r="F68" i="1"/>
  <c r="E68" i="1"/>
  <c r="D68" i="1"/>
  <c r="C68" i="1"/>
  <c r="B68" i="1"/>
  <c r="A68" i="1"/>
  <c r="F67" i="1"/>
  <c r="E67" i="1"/>
  <c r="D67" i="1"/>
  <c r="C67" i="1"/>
  <c r="B67" i="1"/>
  <c r="A67" i="1"/>
  <c r="F66" i="1"/>
  <c r="E66" i="1"/>
  <c r="D66" i="1"/>
  <c r="C66" i="1"/>
  <c r="B66" i="1"/>
  <c r="A66" i="1"/>
  <c r="F65" i="1"/>
  <c r="E65" i="1"/>
  <c r="D65" i="1"/>
  <c r="C65" i="1"/>
  <c r="B65" i="1"/>
  <c r="A65" i="1"/>
  <c r="F64" i="1"/>
  <c r="E64" i="1"/>
  <c r="D64" i="1"/>
  <c r="C64" i="1"/>
  <c r="B64" i="1"/>
  <c r="A64" i="1"/>
  <c r="F63" i="1"/>
  <c r="E63" i="1"/>
  <c r="D63" i="1"/>
  <c r="C63" i="1"/>
  <c r="B63" i="1"/>
  <c r="A63" i="1"/>
  <c r="F62" i="1"/>
  <c r="E62" i="1"/>
  <c r="D62" i="1"/>
  <c r="C62" i="1"/>
  <c r="B62" i="1"/>
  <c r="A62" i="1"/>
  <c r="F61" i="1"/>
  <c r="E61" i="1"/>
  <c r="D61" i="1"/>
  <c r="C61" i="1"/>
  <c r="B61" i="1"/>
  <c r="A61" i="1"/>
  <c r="F60" i="1"/>
  <c r="E60" i="1"/>
  <c r="D60" i="1"/>
  <c r="C60" i="1"/>
  <c r="B60" i="1"/>
  <c r="A60" i="1"/>
  <c r="F59" i="1"/>
  <c r="E59" i="1"/>
  <c r="D59" i="1"/>
  <c r="C59" i="1"/>
  <c r="B59" i="1"/>
  <c r="A59" i="1"/>
  <c r="F58" i="1"/>
  <c r="E58" i="1"/>
  <c r="D58" i="1"/>
  <c r="C58" i="1"/>
  <c r="B58" i="1"/>
  <c r="A58" i="1"/>
  <c r="F57" i="1"/>
  <c r="E57" i="1"/>
  <c r="D57" i="1"/>
  <c r="C57" i="1"/>
  <c r="B57" i="1"/>
  <c r="A57" i="1"/>
  <c r="F56" i="1"/>
  <c r="E56" i="1"/>
  <c r="D56" i="1"/>
  <c r="C56" i="1"/>
  <c r="B56" i="1"/>
  <c r="A56" i="1"/>
  <c r="F55" i="1"/>
  <c r="E55" i="1"/>
  <c r="D55" i="1"/>
  <c r="C55" i="1"/>
  <c r="B55" i="1"/>
  <c r="A55" i="1"/>
  <c r="F54" i="1"/>
  <c r="E54" i="1"/>
  <c r="D54" i="1"/>
  <c r="C54" i="1"/>
  <c r="B54" i="1"/>
  <c r="A54" i="1"/>
  <c r="F53" i="1"/>
  <c r="E53" i="1"/>
  <c r="D53" i="1"/>
  <c r="C53" i="1"/>
  <c r="B53" i="1"/>
  <c r="A53" i="1"/>
  <c r="F52" i="1"/>
  <c r="E52" i="1"/>
  <c r="D52" i="1"/>
  <c r="C52" i="1"/>
  <c r="B52" i="1"/>
  <c r="A52" i="1"/>
  <c r="F51" i="1"/>
  <c r="E51" i="1"/>
  <c r="D51" i="1"/>
  <c r="C51" i="1"/>
  <c r="B51" i="1"/>
  <c r="A51" i="1"/>
  <c r="F50" i="1"/>
  <c r="E50" i="1"/>
  <c r="D50" i="1"/>
  <c r="C50" i="1"/>
  <c r="B50" i="1"/>
  <c r="A50" i="1"/>
  <c r="F49" i="1"/>
  <c r="E49" i="1"/>
  <c r="D49" i="1"/>
  <c r="C49" i="1"/>
  <c r="B49" i="1"/>
  <c r="A49" i="1"/>
  <c r="F48" i="1"/>
  <c r="E48" i="1"/>
  <c r="D48" i="1"/>
  <c r="C48" i="1"/>
  <c r="B48" i="1"/>
  <c r="A48" i="1"/>
  <c r="F47" i="1"/>
  <c r="E47" i="1"/>
  <c r="D47" i="1"/>
  <c r="C47" i="1"/>
  <c r="B47" i="1"/>
  <c r="A47" i="1"/>
  <c r="F46" i="1"/>
  <c r="E46" i="1"/>
  <c r="D46" i="1"/>
  <c r="C46" i="1"/>
  <c r="B46" i="1"/>
  <c r="A46" i="1"/>
  <c r="F45" i="1"/>
  <c r="E45" i="1"/>
  <c r="D45" i="1"/>
  <c r="C45" i="1"/>
  <c r="B45" i="1"/>
  <c r="A45" i="1"/>
  <c r="F44" i="1"/>
  <c r="E44" i="1"/>
  <c r="D44" i="1"/>
  <c r="C44" i="1"/>
  <c r="B44" i="1"/>
  <c r="A44" i="1"/>
  <c r="F43" i="1"/>
  <c r="E43" i="1"/>
  <c r="D43" i="1"/>
  <c r="C43" i="1"/>
  <c r="B43" i="1"/>
  <c r="A43" i="1"/>
  <c r="F42" i="1"/>
  <c r="E42" i="1"/>
  <c r="D42" i="1"/>
  <c r="C42" i="1"/>
  <c r="B42" i="1"/>
  <c r="A42" i="1"/>
  <c r="F41" i="1"/>
  <c r="E41" i="1"/>
  <c r="D41" i="1"/>
  <c r="C41" i="1"/>
  <c r="B41" i="1"/>
  <c r="A41" i="1"/>
  <c r="F40" i="1"/>
  <c r="E40" i="1"/>
  <c r="D40" i="1"/>
  <c r="C40" i="1"/>
  <c r="B40" i="1"/>
  <c r="A40" i="1"/>
  <c r="F39" i="1"/>
  <c r="E39" i="1"/>
  <c r="D39" i="1"/>
  <c r="C39" i="1"/>
  <c r="B39" i="1"/>
  <c r="A39" i="1"/>
  <c r="F38" i="1"/>
  <c r="E38" i="1"/>
  <c r="D38" i="1"/>
  <c r="C38" i="1"/>
  <c r="B38" i="1"/>
  <c r="A38" i="1"/>
  <c r="F37" i="1"/>
  <c r="E37" i="1"/>
  <c r="D37" i="1"/>
  <c r="C37" i="1"/>
  <c r="B37" i="1"/>
  <c r="A37" i="1"/>
  <c r="F36" i="1"/>
  <c r="E36" i="1"/>
  <c r="D36" i="1"/>
  <c r="C36" i="1"/>
  <c r="B36" i="1"/>
  <c r="A36" i="1"/>
  <c r="F35" i="1"/>
  <c r="E35" i="1"/>
  <c r="D35" i="1"/>
  <c r="C35" i="1"/>
  <c r="B35" i="1"/>
  <c r="A35" i="1"/>
  <c r="F34" i="1"/>
  <c r="E34" i="1"/>
  <c r="D34" i="1"/>
  <c r="C34" i="1"/>
  <c r="B34" i="1"/>
  <c r="A34" i="1"/>
  <c r="F33" i="1"/>
  <c r="E33" i="1"/>
  <c r="D33" i="1"/>
  <c r="C33" i="1"/>
  <c r="B33" i="1"/>
  <c r="A33" i="1"/>
  <c r="F32" i="1"/>
  <c r="E32" i="1"/>
  <c r="D32" i="1"/>
  <c r="C32" i="1"/>
  <c r="B32" i="1"/>
  <c r="A32" i="1"/>
  <c r="F31" i="1"/>
  <c r="E31" i="1"/>
  <c r="D31" i="1"/>
  <c r="C31" i="1"/>
  <c r="B31" i="1"/>
  <c r="A31" i="1"/>
  <c r="F30" i="1"/>
  <c r="E30" i="1"/>
  <c r="D30" i="1"/>
  <c r="C30" i="1"/>
  <c r="B30" i="1"/>
  <c r="A30" i="1"/>
  <c r="F29" i="1"/>
  <c r="E29" i="1"/>
  <c r="D29" i="1"/>
  <c r="C29" i="1"/>
  <c r="B29" i="1"/>
  <c r="A29" i="1"/>
  <c r="F28" i="1"/>
  <c r="E28" i="1"/>
  <c r="D28" i="1"/>
  <c r="C28" i="1"/>
  <c r="B28" i="1"/>
  <c r="A28" i="1"/>
  <c r="F27" i="1"/>
  <c r="E27" i="1"/>
  <c r="D27" i="1"/>
  <c r="C27" i="1"/>
  <c r="B27" i="1"/>
  <c r="A27" i="1"/>
  <c r="F26" i="1"/>
  <c r="E26" i="1"/>
  <c r="D26" i="1"/>
  <c r="C26" i="1"/>
  <c r="B26" i="1"/>
  <c r="A26" i="1"/>
  <c r="F25" i="1"/>
  <c r="E25" i="1"/>
  <c r="D25" i="1"/>
  <c r="C25" i="1"/>
  <c r="B25" i="1"/>
  <c r="A25" i="1"/>
  <c r="F24" i="1"/>
  <c r="E24" i="1"/>
  <c r="D24" i="1"/>
  <c r="C24" i="1"/>
  <c r="B24" i="1"/>
  <c r="A24" i="1"/>
  <c r="F23" i="1"/>
  <c r="E23" i="1"/>
  <c r="D23" i="1"/>
  <c r="C23" i="1"/>
  <c r="B23" i="1"/>
  <c r="A23" i="1"/>
  <c r="F22" i="1"/>
  <c r="E22" i="1"/>
  <c r="D22" i="1"/>
  <c r="C22" i="1"/>
  <c r="B22" i="1"/>
  <c r="A22" i="1"/>
  <c r="F21" i="1"/>
  <c r="E21" i="1"/>
  <c r="D21" i="1"/>
  <c r="C21" i="1"/>
  <c r="B21" i="1"/>
  <c r="A21" i="1"/>
  <c r="F20" i="1"/>
  <c r="E20" i="1"/>
  <c r="D20" i="1"/>
  <c r="C20" i="1"/>
  <c r="B20" i="1"/>
  <c r="A20" i="1"/>
  <c r="F19" i="1"/>
  <c r="E19" i="1"/>
  <c r="D19" i="1"/>
  <c r="C19" i="1"/>
  <c r="B19" i="1"/>
  <c r="A19" i="1"/>
  <c r="F18" i="1"/>
  <c r="E18" i="1"/>
  <c r="D18" i="1"/>
  <c r="C18" i="1"/>
  <c r="B18" i="1"/>
  <c r="A18" i="1"/>
  <c r="F17" i="1"/>
  <c r="E17" i="1"/>
  <c r="D17" i="1"/>
  <c r="C17" i="1"/>
  <c r="B17" i="1"/>
  <c r="A17" i="1"/>
  <c r="F16" i="1"/>
  <c r="E16" i="1"/>
  <c r="D16" i="1"/>
  <c r="C16" i="1"/>
  <c r="B16" i="1"/>
  <c r="A16" i="1"/>
  <c r="F15" i="1"/>
  <c r="E15" i="1"/>
  <c r="D15" i="1"/>
  <c r="C15" i="1"/>
  <c r="B15" i="1"/>
  <c r="A15" i="1"/>
  <c r="F14" i="1"/>
  <c r="E14" i="1"/>
  <c r="D14" i="1"/>
  <c r="C14" i="1"/>
  <c r="B14" i="1"/>
  <c r="A14" i="1"/>
  <c r="F13" i="1"/>
  <c r="E13" i="1"/>
  <c r="D13" i="1"/>
  <c r="C13" i="1"/>
  <c r="B13" i="1"/>
  <c r="A13" i="1"/>
  <c r="F12" i="1"/>
  <c r="E12" i="1"/>
  <c r="D12" i="1"/>
  <c r="C12" i="1"/>
  <c r="B12" i="1"/>
  <c r="A12" i="1"/>
  <c r="F11" i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F2" i="1"/>
  <c r="E2" i="1"/>
  <c r="D2" i="1"/>
  <c r="C2" i="1"/>
  <c r="B2" i="1"/>
  <c r="A2" i="1"/>
  <c r="D17" i="3" l="1"/>
  <c r="E12" i="3"/>
  <c r="G12" i="3" l="1"/>
  <c r="E17" i="3"/>
  <c r="D122" i="1" l="1"/>
</calcChain>
</file>

<file path=xl/sharedStrings.xml><?xml version="1.0" encoding="utf-8"?>
<sst xmlns="http://schemas.openxmlformats.org/spreadsheetml/2006/main" count="132" uniqueCount="107">
  <si>
    <t>Bank_Ref</t>
  </si>
  <si>
    <t>Date</t>
  </si>
  <si>
    <t>Description</t>
  </si>
  <si>
    <t>Debit</t>
  </si>
  <si>
    <t>Credit</t>
  </si>
  <si>
    <t>Balance</t>
  </si>
  <si>
    <t>Month</t>
  </si>
  <si>
    <t>Net Amount (THB)</t>
  </si>
  <si>
    <t>Size Flag</t>
  </si>
  <si>
    <t>ABC Manufacturing Co., Ltd.</t>
  </si>
  <si>
    <t>Working Paper: Cash &amp; Bank</t>
  </si>
  <si>
    <t>WP Ref.</t>
  </si>
  <si>
    <t>A-100</t>
  </si>
  <si>
    <t>Period</t>
  </si>
  <si>
    <t>Year ended 31 December 2025</t>
  </si>
  <si>
    <t>Prepared by</t>
  </si>
  <si>
    <t>J. Auditor</t>
  </si>
  <si>
    <t>15-Jan-2026</t>
  </si>
  <si>
    <t>Reviewed by</t>
  </si>
  <si>
    <t>S. Manager</t>
  </si>
  <si>
    <t>20-Jan-2026</t>
  </si>
  <si>
    <t>Audit Objective:</t>
  </si>
  <si>
    <t>To confirm existence, completeness and accuracy of cash and bank balances, and to identify unusual or unreconciled items through bank reconciliation and cash count procedures.</t>
  </si>
  <si>
    <t>A-110  CASH &amp; BANK LEAD SCHEDULE</t>
  </si>
  <si>
    <t>Account</t>
  </si>
  <si>
    <t>GL Balance (TB)</t>
  </si>
  <si>
    <t>Per Bank Statement/Count</t>
  </si>
  <si>
    <t>Adjustment</t>
  </si>
  <si>
    <t>Adjusted Balance</t>
  </si>
  <si>
    <t>PY Balance</t>
  </si>
  <si>
    <t>Var %</t>
  </si>
  <si>
    <t>Tick</t>
  </si>
  <si>
    <t>Petty Cash - Head Office</t>
  </si>
  <si>
    <t>✓ TB</t>
  </si>
  <si>
    <t>Cash on Hand - Factory</t>
  </si>
  <si>
    <t>Bank - Kasikorn Current 001</t>
  </si>
  <si>
    <t>Bank - SCB Savings 002</t>
  </si>
  <si>
    <t>Bank - BBL Fixed Deposit</t>
  </si>
  <si>
    <t>TOTAL</t>
  </si>
  <si>
    <t>A-120  BANK RECONCILIATION — Kasikorn Current A/C No. 001 (31 Dec 2025)</t>
  </si>
  <si>
    <t>Item</t>
  </si>
  <si>
    <t>Amount</t>
  </si>
  <si>
    <t>Balance per Bank Statement, 31 Dec 2025</t>
  </si>
  <si>
    <t>Add: Deposit in transit (rec'd by bank 3-Jan-26)</t>
  </si>
  <si>
    <t>Less: Outstanding cheque #4521 (issued 28-Dec, cleared 6-Jan)</t>
  </si>
  <si>
    <t>Less: Bank charges not yet recorded in GL</t>
  </si>
  <si>
    <t>Add: Note collected by bank, not yet recorded</t>
  </si>
  <si>
    <t>Adjusted (Book) Balance per GL, 31 Dec 2025</t>
  </si>
  <si>
    <t>TICKMARK LEGEND</t>
  </si>
  <si>
    <t>TB</t>
  </si>
  <si>
    <t>Agreed to Trial Balance without exception</t>
  </si>
  <si>
    <t>BS</t>
  </si>
  <si>
    <t>Agreed to Bank Statement / Bank Confirmation received directly from bank</t>
  </si>
  <si>
    <t>R</t>
  </si>
  <si>
    <t>Recalculated - no exception</t>
  </si>
  <si>
    <t>AUDIT FINDINGS &amp; CONCLUSION</t>
  </si>
  <si>
    <t>Finding(s):</t>
  </si>
  <si>
    <t>Outstanding cheque #4521 (Baht 25,000) was in transit for 9 days, within normal clearing period. Bank confirmation for all 3 accounts agreed to balances above with no exceptions. No unusual reconciling items noted.</t>
  </si>
  <si>
    <t>Risk:</t>
  </si>
  <si>
    <t>Low - reconciling items are timing differences typical of period-end cut-off; no indication of misappropriation or misstatement.</t>
  </si>
  <si>
    <t>Recommendation:</t>
  </si>
  <si>
    <t>No adjustment required. Recommend client automates bank reconciliation monthly to shorten review cycle.</t>
  </si>
  <si>
    <t>Conclusion:</t>
  </si>
  <si>
    <t>Cash and bank balances are fairly stated as at 31 December 2025. Audit objective achieved.</t>
  </si>
  <si>
    <t>(All)</t>
  </si>
  <si>
    <t>Values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</si>
  <si>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</si>
  <si>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</si>
  <si>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</si>
  <si>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</si>
  <si>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</si>
  <si>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</si>
  <si>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</si>
  <si>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</si>
  <si>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</si>
  <si>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</si>
  <si>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</si>
  <si>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</si>
  <si>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</si>
  <si>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Bank Fee</t>
  </si>
  <si>
    <t>Sum of Debit</t>
  </si>
  <si>
    <t>Sum of Credit</t>
  </si>
  <si>
    <t>Customer Receipt</t>
  </si>
  <si>
    <t>Salary Payment</t>
  </si>
  <si>
    <t>Supplier Payment</t>
  </si>
  <si>
    <t>Total Sum of Debit</t>
  </si>
  <si>
    <t>Total Sum of Credit</t>
  </si>
  <si>
    <t xml:space="preserve">  CASH &amp; BANK - PIVOT TABLE  (source: 01-Cash-Hlp)</t>
  </si>
  <si>
    <t xml:space="preserve">  AUDIT FINDINGS, RISK &amp; PROPOSED ADJUSTMENT</t>
  </si>
  <si>
    <t>Proposed AJE:</t>
  </si>
  <si>
    <t xml:space="preserve">  REVENUE DASHBOARD</t>
  </si>
  <si>
    <t xml:space="preserve">  ABC Manufacturing Co., Ltd.  |  WP Ref: B-100  |  Year Ended 31 December 2025  |  Dashboard 2 of 15</t>
  </si>
  <si>
    <t xml:space="preserve">  Total Revenue (THB)</t>
  </si>
  <si>
    <t xml:space="preserve">  Total Invoices</t>
  </si>
  <si>
    <t xml:space="preserve">  Average Invoice (THB)</t>
  </si>
  <si>
    <t xml:space="preserve">  Credit Sales % of Total</t>
  </si>
  <si>
    <t xml:space="preserve">  CHART DATA (from '02-Revenue-Hlp') - drives the chart below; full interactive pivot with all dimensions is on '02-Revenue-Pvt'</t>
  </si>
  <si>
    <t>Customer_Type</t>
  </si>
  <si>
    <t>Sum of Sales_Amount</t>
  </si>
  <si>
    <t>Count of Invoice_No</t>
  </si>
  <si>
    <t>Normal</t>
  </si>
  <si>
    <t>Key Customer</t>
  </si>
  <si>
    <t>Credit Customer</t>
  </si>
  <si>
    <t>Finding 1 (Duplicate Invoice): 3 invoices (Baht 1,185,000) identified as duplicate postings via exact-match test. Finding 2 (Cut-off): 2 invoices totaling Baht 673,000 recorded in December but delivered in January.</t>
  </si>
  <si>
    <t>Revenue Overstatement - both findings overstate December 2025 revenue; December shows an unexplained 30% spike vs. November.</t>
  </si>
  <si>
    <t>Implement system duplicate-invoice check prior to posting. Recognize revenue based on delivery/transfer-of-control date per TFRS 15.</t>
  </si>
  <si>
    <t>AJE-01: reverse Baht 1,858,000 (duplicate + cut-off items) from December 2025 revenue and receivables.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</si>
</sst>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0.0%"/>
    <numFmt numFmtId="166" formatCode="_(* #,##0_);_(* \(#,##0\);_(* &quot;-&quot;??_);_(@_)"/>
  </numFmts>
  <fonts count="21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b/>
      <sz val="14"/>
      <color rgb="FFFFFFFF"/>
      <name val="Arial"/>
      <charset val="1"/>
    </font>
    <font>
      <b/>
      <sz val="12"/>
      <color rgb="FF1F3864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9"/>
      <color rgb="FF1F3864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C00000"/>
      <name val="Arial"/>
      <charset val="1"/>
    </font>
    <font>
      <b/>
      <sz val="9"/>
      <color rgb="FFC00000"/>
      <name val="Arial"/>
      <charset val="1"/>
    </font>
    <font>
      <sz val="9"/>
      <name val="Arial"/>
      <family val="2"/>
    </font>
    <font>
      <b/>
      <sz val="9"/>
      <color rgb="FF008000"/>
      <name val="Arial"/>
      <charset val="1"/>
    </font>
    <font>
      <sz val="10"/>
      <name val="Arial"/>
    </font>
    <font>
      <b/>
      <sz val="15"/>
      <color rgb="FFFFFFFF"/>
      <name val="Arial"/>
      <charset val="1"/>
    </font>
    <font>
      <sz val="10"/>
      <color rgb="FFD9E2F3"/>
      <name val="Arial"/>
      <charset val="1"/>
    </font>
    <font>
      <b/>
      <sz val="16"/>
      <color rgb="FF1F3864"/>
      <name val="Arial"/>
      <charset val="1"/>
    </font>
    <font>
      <i/>
      <sz val="9"/>
      <color rgb="FF7F600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2E75B6"/>
        <bgColor rgb="FF4A7EBB"/>
      </patternFill>
    </fill>
    <fill>
      <patternFill patternType="solid">
        <fgColor rgb="FFEAF1FB"/>
        <bgColor rgb="FFF2F2F2"/>
      </patternFill>
    </fill>
    <fill>
      <patternFill patternType="solid">
        <fgColor rgb="FFFFF2CC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0" fillId="0" borderId="1" xfId="0" applyNumberFormat="1" applyBorder="1"/>
    <xf numFmtId="165" fontId="0" fillId="0" borderId="1" xfId="0" applyNumberFormat="1" applyBorder="1"/>
    <xf numFmtId="0" fontId="10" fillId="0" borderId="1" xfId="0" applyFont="1" applyBorder="1"/>
    <xf numFmtId="0" fontId="4" fillId="5" borderId="1" xfId="0" applyFont="1" applyFill="1" applyBorder="1"/>
    <xf numFmtId="3" fontId="4" fillId="5" borderId="1" xfId="0" applyNumberFormat="1" applyFont="1" applyFill="1" applyBorder="1"/>
    <xf numFmtId="3" fontId="5" fillId="0" borderId="1" xfId="0" applyNumberFormat="1" applyFont="1" applyBorder="1"/>
    <xf numFmtId="0" fontId="0" fillId="0" borderId="1" xfId="0" applyBorder="1"/>
    <xf numFmtId="3" fontId="4" fillId="5" borderId="0" xfId="0" applyNumberFormat="1" applyFont="1" applyFill="1"/>
    <xf numFmtId="0" fontId="11" fillId="0" borderId="0" xfId="0" applyFont="1"/>
    <xf numFmtId="0" fontId="13" fillId="0" borderId="0" xfId="0" applyFont="1"/>
    <xf numFmtId="166" fontId="14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9" fillId="0" borderId="0" xfId="0" applyFont="1"/>
    <xf numFmtId="3" fontId="17" fillId="7" borderId="0" xfId="0" applyNumberFormat="1" applyFont="1" applyFill="1"/>
    <xf numFmtId="0" fontId="18" fillId="8" borderId="0" xfId="0" applyFont="1" applyFill="1"/>
    <xf numFmtId="0" fontId="1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9" fillId="6" borderId="0" xfId="0" applyFont="1" applyFill="1"/>
    <xf numFmtId="0" fontId="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7" fillId="0" borderId="0" xfId="0" applyFont="1"/>
    <xf numFmtId="0" fontId="8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5" fillId="0" borderId="1" xfId="0" applyFont="1" applyBorder="1"/>
    <xf numFmtId="0" fontId="4" fillId="0" borderId="0" xfId="0" applyFont="1"/>
    <xf numFmtId="0" fontId="20" fillId="0" borderId="0" xfId="0" applyFont="1" applyAlignment="1">
      <alignment vertical="top" wrapText="1"/>
    </xf>
  </cellXfs>
  <cellStyles count="1">
    <cellStyle name="Normal" xfId="0" builtinId="0"/>
  </cellStyles>
  <dxfs count="32"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166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Customer_Type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'[2]02-Revenue-Dash'!$C$9</c:f>
              <c:strCache>
                <c:ptCount val="1"/>
                <c:pt idx="0">
                  <c:v>Sum of Sales_Amount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'[2]02-Revenue-Dash'!$B$10:$B$12</c:f>
              <c:strCache>
                <c:ptCount val="3"/>
                <c:pt idx="0">
                  <c:v>Normal</c:v>
                </c:pt>
                <c:pt idx="1">
                  <c:v>Key Customer</c:v>
                </c:pt>
                <c:pt idx="2">
                  <c:v>Credit Customer</c:v>
                </c:pt>
              </c:strCache>
            </c:strRef>
          </c:cat>
          <c:val>
            <c:numRef>
              <c:f>'[2]02-Revenue-Dash'!$C$10:$C$12</c:f>
              <c:numCache>
                <c:formatCode>#,##0</c:formatCode>
                <c:ptCount val="3"/>
                <c:pt idx="0">
                  <c:v>220479</c:v>
                </c:pt>
                <c:pt idx="1">
                  <c:v>121860</c:v>
                </c:pt>
                <c:pt idx="2">
                  <c:v>137011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3-4D9F-8D0C-428349963B18}"/>
            </c:ext>
          </c:extLst>
        </c:ser>
        <c:ser>
          <c:idx val="1"/>
          <c:order val="1"/>
          <c:tx>
            <c:strRef>
              <c:f>'[2]02-Revenue-Dash'!$D$9</c:f>
              <c:strCache>
                <c:ptCount val="1"/>
                <c:pt idx="0">
                  <c:v>Count of Invoice_No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'[2]02-Revenue-Dash'!$B$10:$B$12</c:f>
              <c:strCache>
                <c:ptCount val="3"/>
                <c:pt idx="0">
                  <c:v>Normal</c:v>
                </c:pt>
                <c:pt idx="1">
                  <c:v>Key Customer</c:v>
                </c:pt>
                <c:pt idx="2">
                  <c:v>Credit Customer</c:v>
                </c:pt>
              </c:strCache>
            </c:strRef>
          </c:cat>
          <c:val>
            <c:numRef>
              <c:f>'[2]02-Revenue-Dash'!$D$10:$D$12</c:f>
              <c:numCache>
                <c:formatCode>#,##0</c:formatCode>
                <c:ptCount val="3"/>
                <c:pt idx="0">
                  <c:v>46</c:v>
                </c:pt>
                <c:pt idx="1">
                  <c:v>24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3-4D9F-8D0C-428349963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940277"/>
        <c:axId val="57698218"/>
      </c:barChart>
      <c:catAx>
        <c:axId val="819402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Customer_Type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698218"/>
        <c:crosses val="autoZero"/>
        <c:auto val="1"/>
        <c:lblAlgn val="ctr"/>
        <c:lblOffset val="100"/>
        <c:noMultiLvlLbl val="0"/>
      </c:catAx>
      <c:valAx>
        <c:axId val="5769821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Sales_Amount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9402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</xdr:row>
      <xdr:rowOff>0</xdr:rowOff>
    </xdr:from>
    <xdr:to>
      <xdr:col>15</xdr:col>
      <xdr:colOff>301180</xdr:colOff>
      <xdr:row>23</xdr:row>
      <xdr:rowOff>66710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70651-72B7-487C-8EC8-271824F4D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pivot%20table%20-%20Copy.xlsx" TargetMode="External"/><Relationship Id="rId2" Type="http://schemas.openxmlformats.org/officeDocument/2006/relationships/externalLinkPath" Target="file:///C:\Users\asus\Desktop\cv%20excel%20github\pivot%20table%20-%20Copy.xlsx" TargetMode="External"/><Relationship Id="rId1" Type="http://schemas.openxmlformats.org/officeDocument/2006/relationships/externalLinkPath" Target="/Users/asus/Desktop/cv%20excel%20github/pivot%20table%20-%20Cop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cv%20excel%20github\audit\pivot%20table.xlsx" TargetMode="External"/><Relationship Id="rId1" Type="http://schemas.openxmlformats.org/officeDocument/2006/relationships/externalLinkPath" Target="pivot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-Index"/>
      <sheetName val="01-Cash-Raw"/>
      <sheetName val="01-Cash-Hlp"/>
      <sheetName val="01-Cash-WP"/>
      <sheetName val="cash-pivot"/>
      <sheetName val="01-Cash-Pvt"/>
      <sheetName val="01-Cash-Dash"/>
      <sheetName val="02-Revenue-Raw"/>
      <sheetName val="02-Revenue-Hlp"/>
      <sheetName val="02-Revenue-WP"/>
      <sheetName val="02-Revenue-Pvt"/>
      <sheetName val="02-Revenue-Dash"/>
      <sheetName val="03-AR-Raw"/>
      <sheetName val="03-AR-Hlp"/>
      <sheetName val="03-AR-WP"/>
      <sheetName val="03-AR-Pvt"/>
      <sheetName val="03-AR-Dash"/>
      <sheetName val="04-Inventory-Raw"/>
      <sheetName val="04-Inventory-Hlp"/>
      <sheetName val="04-Inventory-WP"/>
      <sheetName val="04-Inventory-Pvt"/>
      <sheetName val="04-Inventory-Dash"/>
      <sheetName val="05-COGS-Raw"/>
      <sheetName val="05-COGS-Hlp"/>
      <sheetName val="05-COGS-WP"/>
      <sheetName val="05-COGS-Pvt"/>
      <sheetName val="05-COGS-Dash"/>
      <sheetName val="06-Purchases-Raw"/>
      <sheetName val="06-Purchases-Hlp"/>
      <sheetName val="06-Purchases-WP"/>
      <sheetName val="06-Purchases-Pvt"/>
      <sheetName val="06-Purchases-Dash"/>
      <sheetName val="07-AP-Raw"/>
      <sheetName val="07-AP-Hlp"/>
      <sheetName val="07-AP-WP"/>
      <sheetName val="07-AP-Pvt"/>
      <sheetName val="07-AP-Dash"/>
      <sheetName val="08-Expenses-Raw"/>
      <sheetName val="08-Expenses-Hlp"/>
      <sheetName val="08-Expenses-WP"/>
      <sheetName val="08-Expenses-Pvt"/>
      <sheetName val="08-Expenses-Dash"/>
      <sheetName val="09-PPE-Raw"/>
      <sheetName val="09-PPE-Hlp"/>
      <sheetName val="09-PPE-WP"/>
      <sheetName val="09-PPE-Pvt"/>
      <sheetName val="09-PPE-Dash"/>
      <sheetName val="10-Payroll-Raw"/>
      <sheetName val="10-Payroll-Hlp"/>
      <sheetName val="10-Payroll-WP"/>
      <sheetName val="10-Payroll-Pvt"/>
      <sheetName val="10-Payroll-Dash"/>
      <sheetName val="11-Tax-Raw"/>
      <sheetName val="11-Tax-Hlp"/>
      <sheetName val="11-Tax-WP"/>
      <sheetName val="11-Tax-Pvt"/>
      <sheetName val="11-Tax-Dash"/>
      <sheetName val="12-Loans-Raw"/>
      <sheetName val="12-Loans-Hlp"/>
      <sheetName val="12-Loans-WP"/>
      <sheetName val="12-Loans-Pvt"/>
      <sheetName val="12-Loans-Dash"/>
      <sheetName val="13-Equity-Raw"/>
      <sheetName val="13-Equity-Hlp"/>
      <sheetName val="13-Equity-WP"/>
      <sheetName val="13-Equity-Pvt"/>
      <sheetName val="13-Equity-Dash"/>
      <sheetName val="14-FSA-Raw"/>
      <sheetName val="14-FSA-Hlp"/>
      <sheetName val="14-FSA-WP"/>
      <sheetName val="14-FSA-Pvt"/>
      <sheetName val="14-FSA-Dash"/>
      <sheetName val="15-ICQ-Raw"/>
      <sheetName val="15-ICQ-Hlp"/>
      <sheetName val="15-ICQ-WP"/>
      <sheetName val="15-ICQ-Pvt"/>
      <sheetName val="15-ICQ-Dash"/>
      <sheetName val="RAW_SaleInvoice"/>
      <sheetName val="RAW_PurchaseInvoice"/>
      <sheetName val="RAW_InventoryMovement"/>
      <sheetName val="RAW_PayrollRegister"/>
      <sheetName val="RAW_BankStatement"/>
      <sheetName val="RAW_GeneralLedger"/>
      <sheetName val="RAW_TrialBalance"/>
      <sheetName val="RAW_CustomerMaster"/>
      <sheetName val="RAW_VendorMaster"/>
      <sheetName val="RAW_ProductMaster"/>
      <sheetName val="RAW_EmployeeMaster"/>
      <sheetName val="RAW_FixedAssetReg"/>
      <sheetName val="RAW_ChartOfAccounts"/>
    </sheetNames>
    <sheetDataSet>
      <sheetData sheetId="0" refreshError="1"/>
      <sheetData sheetId="1">
        <row r="2">
          <cell r="A2" t="str">
            <v>BNK0001</v>
          </cell>
          <cell r="B2">
            <v>45808</v>
          </cell>
          <cell r="C2" t="str">
            <v>Customer Receipt</v>
          </cell>
          <cell r="D2">
            <v>14211</v>
          </cell>
          <cell r="E2">
            <v>0</v>
          </cell>
          <cell r="F2">
            <v>514211</v>
          </cell>
        </row>
        <row r="3">
          <cell r="A3" t="str">
            <v>BNK0002</v>
          </cell>
          <cell r="B3">
            <v>45760</v>
          </cell>
          <cell r="C3" t="str">
            <v>Bank Fee</v>
          </cell>
          <cell r="D3">
            <v>0</v>
          </cell>
          <cell r="E3">
            <v>3746</v>
          </cell>
          <cell r="F3">
            <v>510465</v>
          </cell>
        </row>
        <row r="4">
          <cell r="A4" t="str">
            <v>BNK0003</v>
          </cell>
          <cell r="B4">
            <v>45816</v>
          </cell>
          <cell r="C4" t="str">
            <v>Salary Payment</v>
          </cell>
          <cell r="D4">
            <v>0</v>
          </cell>
          <cell r="E4">
            <v>34776</v>
          </cell>
          <cell r="F4">
            <v>475689</v>
          </cell>
        </row>
        <row r="5">
          <cell r="A5" t="str">
            <v>BNK0004</v>
          </cell>
          <cell r="B5">
            <v>45936</v>
          </cell>
          <cell r="C5" t="str">
            <v>Bank Fee</v>
          </cell>
          <cell r="D5">
            <v>0</v>
          </cell>
          <cell r="E5">
            <v>32024</v>
          </cell>
          <cell r="F5">
            <v>443665</v>
          </cell>
        </row>
        <row r="6">
          <cell r="A6" t="str">
            <v>BNK0005</v>
          </cell>
          <cell r="B6">
            <v>45676</v>
          </cell>
          <cell r="C6" t="str">
            <v>Supplier Payment</v>
          </cell>
          <cell r="D6">
            <v>0</v>
          </cell>
          <cell r="E6">
            <v>43395</v>
          </cell>
          <cell r="F6">
            <v>400270</v>
          </cell>
        </row>
        <row r="7">
          <cell r="A7" t="str">
            <v>BNK0006</v>
          </cell>
          <cell r="B7">
            <v>45804</v>
          </cell>
          <cell r="C7" t="str">
            <v>Customer Receipt</v>
          </cell>
          <cell r="D7">
            <v>24394</v>
          </cell>
          <cell r="E7">
            <v>0</v>
          </cell>
          <cell r="F7">
            <v>424664</v>
          </cell>
        </row>
        <row r="8">
          <cell r="A8" t="str">
            <v>BNK0007</v>
          </cell>
          <cell r="B8">
            <v>45993</v>
          </cell>
          <cell r="C8" t="str">
            <v>Bank Fee</v>
          </cell>
          <cell r="D8">
            <v>0</v>
          </cell>
          <cell r="E8">
            <v>22753</v>
          </cell>
          <cell r="F8">
            <v>401911</v>
          </cell>
        </row>
        <row r="9">
          <cell r="A9" t="str">
            <v>BNK0008</v>
          </cell>
          <cell r="B9">
            <v>45721</v>
          </cell>
          <cell r="C9" t="str">
            <v>Salary Payment</v>
          </cell>
          <cell r="D9">
            <v>0</v>
          </cell>
          <cell r="E9">
            <v>25118</v>
          </cell>
          <cell r="F9">
            <v>376793</v>
          </cell>
        </row>
        <row r="10">
          <cell r="A10" t="str">
            <v>BNK0009</v>
          </cell>
          <cell r="B10">
            <v>45862</v>
          </cell>
          <cell r="C10" t="str">
            <v>Salary Payment</v>
          </cell>
          <cell r="D10">
            <v>0</v>
          </cell>
          <cell r="E10">
            <v>49713</v>
          </cell>
          <cell r="F10">
            <v>327080</v>
          </cell>
        </row>
        <row r="11">
          <cell r="A11" t="str">
            <v>BNK0010</v>
          </cell>
          <cell r="B11">
            <v>45855</v>
          </cell>
          <cell r="C11" t="str">
            <v>Supplier Payment</v>
          </cell>
          <cell r="D11">
            <v>0</v>
          </cell>
          <cell r="E11">
            <v>23219</v>
          </cell>
          <cell r="F11">
            <v>303861</v>
          </cell>
        </row>
        <row r="12">
          <cell r="A12" t="str">
            <v>BNK0011</v>
          </cell>
          <cell r="B12">
            <v>45912</v>
          </cell>
          <cell r="C12" t="str">
            <v>Salary Payment</v>
          </cell>
          <cell r="D12">
            <v>0</v>
          </cell>
          <cell r="E12">
            <v>46355</v>
          </cell>
          <cell r="F12">
            <v>257506</v>
          </cell>
        </row>
        <row r="13">
          <cell r="A13" t="str">
            <v>BNK0012</v>
          </cell>
          <cell r="B13">
            <v>45846</v>
          </cell>
          <cell r="C13" t="str">
            <v>Bank Fee</v>
          </cell>
          <cell r="D13">
            <v>0</v>
          </cell>
          <cell r="E13">
            <v>35031</v>
          </cell>
          <cell r="F13">
            <v>222475</v>
          </cell>
        </row>
        <row r="14">
          <cell r="A14" t="str">
            <v>BNK0013</v>
          </cell>
          <cell r="B14">
            <v>45700</v>
          </cell>
          <cell r="C14" t="str">
            <v>Salary Payment</v>
          </cell>
          <cell r="D14">
            <v>0</v>
          </cell>
          <cell r="E14">
            <v>48650</v>
          </cell>
          <cell r="F14">
            <v>173825</v>
          </cell>
        </row>
        <row r="15">
          <cell r="A15" t="str">
            <v>BNK0014</v>
          </cell>
          <cell r="B15">
            <v>45698</v>
          </cell>
          <cell r="C15" t="str">
            <v>Supplier Payment</v>
          </cell>
          <cell r="D15">
            <v>0</v>
          </cell>
          <cell r="E15">
            <v>29220</v>
          </cell>
          <cell r="F15">
            <v>144605</v>
          </cell>
        </row>
        <row r="16">
          <cell r="A16" t="str">
            <v>BNK0015</v>
          </cell>
          <cell r="B16">
            <v>45937</v>
          </cell>
          <cell r="C16" t="str">
            <v>Bank Fee</v>
          </cell>
          <cell r="D16">
            <v>0</v>
          </cell>
          <cell r="E16">
            <v>20252</v>
          </cell>
          <cell r="F16">
            <v>124353</v>
          </cell>
        </row>
        <row r="17">
          <cell r="A17" t="str">
            <v>BNK0016</v>
          </cell>
          <cell r="B17">
            <v>45710</v>
          </cell>
          <cell r="C17" t="str">
            <v>Bank Fee</v>
          </cell>
          <cell r="D17">
            <v>0</v>
          </cell>
          <cell r="E17">
            <v>6247</v>
          </cell>
          <cell r="F17">
            <v>118106</v>
          </cell>
        </row>
        <row r="18">
          <cell r="A18" t="str">
            <v>BNK0017</v>
          </cell>
          <cell r="B18">
            <v>45996</v>
          </cell>
          <cell r="C18" t="str">
            <v>Bank Fee</v>
          </cell>
          <cell r="D18">
            <v>0</v>
          </cell>
          <cell r="E18">
            <v>20375</v>
          </cell>
          <cell r="F18">
            <v>97731</v>
          </cell>
        </row>
        <row r="19">
          <cell r="A19" t="str">
            <v>BNK0018</v>
          </cell>
          <cell r="B19">
            <v>45886</v>
          </cell>
          <cell r="C19" t="str">
            <v>Salary Payment</v>
          </cell>
          <cell r="D19">
            <v>0</v>
          </cell>
          <cell r="E19">
            <v>40493</v>
          </cell>
          <cell r="F19">
            <v>57238</v>
          </cell>
        </row>
        <row r="20">
          <cell r="A20" t="str">
            <v>BNK0019</v>
          </cell>
          <cell r="B20">
            <v>45743</v>
          </cell>
          <cell r="C20" t="str">
            <v>Salary Payment</v>
          </cell>
          <cell r="D20">
            <v>0</v>
          </cell>
          <cell r="E20">
            <v>46204</v>
          </cell>
          <cell r="F20">
            <v>11034</v>
          </cell>
        </row>
        <row r="21">
          <cell r="A21" t="str">
            <v>BNK0020</v>
          </cell>
          <cell r="B21">
            <v>45837</v>
          </cell>
          <cell r="C21" t="str">
            <v>Customer Receipt</v>
          </cell>
          <cell r="D21">
            <v>30303</v>
          </cell>
          <cell r="E21">
            <v>0</v>
          </cell>
          <cell r="F21">
            <v>41337</v>
          </cell>
        </row>
        <row r="22">
          <cell r="A22" t="str">
            <v>BNK0021</v>
          </cell>
          <cell r="B22">
            <v>45838</v>
          </cell>
          <cell r="C22" t="str">
            <v>Salary Payment</v>
          </cell>
          <cell r="D22">
            <v>0</v>
          </cell>
          <cell r="E22">
            <v>41294</v>
          </cell>
          <cell r="F22">
            <v>43</v>
          </cell>
        </row>
        <row r="23">
          <cell r="A23" t="str">
            <v>BNK0022</v>
          </cell>
          <cell r="B23">
            <v>45798</v>
          </cell>
          <cell r="C23" t="str">
            <v>Customer Receipt</v>
          </cell>
          <cell r="D23">
            <v>42908</v>
          </cell>
          <cell r="E23">
            <v>0</v>
          </cell>
          <cell r="F23">
            <v>42951</v>
          </cell>
        </row>
        <row r="24">
          <cell r="A24" t="str">
            <v>BNK0023</v>
          </cell>
          <cell r="B24">
            <v>45696</v>
          </cell>
          <cell r="C24" t="str">
            <v>Salary Payment</v>
          </cell>
          <cell r="D24">
            <v>0</v>
          </cell>
          <cell r="E24">
            <v>44986</v>
          </cell>
          <cell r="F24">
            <v>-2035</v>
          </cell>
        </row>
        <row r="25">
          <cell r="A25" t="str">
            <v>BNK0024</v>
          </cell>
          <cell r="B25">
            <v>45844</v>
          </cell>
          <cell r="C25" t="str">
            <v>Supplier Payment</v>
          </cell>
          <cell r="D25">
            <v>0</v>
          </cell>
          <cell r="E25">
            <v>34625</v>
          </cell>
          <cell r="F25">
            <v>-36660</v>
          </cell>
        </row>
        <row r="26">
          <cell r="A26" t="str">
            <v>BNK0025</v>
          </cell>
          <cell r="B26">
            <v>45673</v>
          </cell>
          <cell r="C26" t="str">
            <v>Salary Payment</v>
          </cell>
          <cell r="D26">
            <v>0</v>
          </cell>
          <cell r="E26">
            <v>10357</v>
          </cell>
          <cell r="F26">
            <v>-47017</v>
          </cell>
        </row>
        <row r="27">
          <cell r="A27" t="str">
            <v>BNK0026</v>
          </cell>
          <cell r="B27">
            <v>45675</v>
          </cell>
          <cell r="C27" t="str">
            <v>Customer Receipt</v>
          </cell>
          <cell r="D27">
            <v>9272</v>
          </cell>
          <cell r="E27">
            <v>0</v>
          </cell>
          <cell r="F27">
            <v>-37745</v>
          </cell>
        </row>
        <row r="28">
          <cell r="A28" t="str">
            <v>BNK0027</v>
          </cell>
          <cell r="B28">
            <v>45778</v>
          </cell>
          <cell r="C28" t="str">
            <v>Bank Fee</v>
          </cell>
          <cell r="D28">
            <v>0</v>
          </cell>
          <cell r="E28">
            <v>43281</v>
          </cell>
          <cell r="F28">
            <v>-81026</v>
          </cell>
        </row>
        <row r="29">
          <cell r="A29" t="str">
            <v>BNK0028</v>
          </cell>
          <cell r="B29">
            <v>45843</v>
          </cell>
          <cell r="C29" t="str">
            <v>Customer Receipt</v>
          </cell>
          <cell r="D29">
            <v>26090</v>
          </cell>
          <cell r="E29">
            <v>0</v>
          </cell>
          <cell r="F29">
            <v>-54936</v>
          </cell>
        </row>
        <row r="30">
          <cell r="A30" t="str">
            <v>BNK0029</v>
          </cell>
          <cell r="B30">
            <v>45967</v>
          </cell>
          <cell r="C30" t="str">
            <v>Salary Payment</v>
          </cell>
          <cell r="D30">
            <v>0</v>
          </cell>
          <cell r="E30">
            <v>11055</v>
          </cell>
          <cell r="F30">
            <v>-65991</v>
          </cell>
        </row>
        <row r="31">
          <cell r="A31" t="str">
            <v>BNK0030</v>
          </cell>
          <cell r="B31">
            <v>45847</v>
          </cell>
          <cell r="C31" t="str">
            <v>Salary Payment</v>
          </cell>
          <cell r="D31">
            <v>0</v>
          </cell>
          <cell r="E31">
            <v>25380</v>
          </cell>
          <cell r="F31">
            <v>-91371</v>
          </cell>
        </row>
        <row r="32">
          <cell r="A32" t="str">
            <v>BNK0031</v>
          </cell>
          <cell r="B32">
            <v>45697</v>
          </cell>
          <cell r="C32" t="str">
            <v>Supplier Payment</v>
          </cell>
          <cell r="D32">
            <v>0</v>
          </cell>
          <cell r="E32">
            <v>38612</v>
          </cell>
          <cell r="F32">
            <v>-129983</v>
          </cell>
        </row>
        <row r="33">
          <cell r="A33" t="str">
            <v>BNK0032</v>
          </cell>
          <cell r="B33">
            <v>45929</v>
          </cell>
          <cell r="C33" t="str">
            <v>Salary Payment</v>
          </cell>
          <cell r="D33">
            <v>0</v>
          </cell>
          <cell r="E33">
            <v>25048</v>
          </cell>
          <cell r="F33">
            <v>-155031</v>
          </cell>
        </row>
        <row r="34">
          <cell r="A34" t="str">
            <v>BNK0033</v>
          </cell>
          <cell r="B34">
            <v>45818</v>
          </cell>
          <cell r="C34" t="str">
            <v>Bank Fee</v>
          </cell>
          <cell r="D34">
            <v>0</v>
          </cell>
          <cell r="E34">
            <v>43569</v>
          </cell>
          <cell r="F34">
            <v>-198600</v>
          </cell>
        </row>
        <row r="35">
          <cell r="A35" t="str">
            <v>BNK0034</v>
          </cell>
          <cell r="B35">
            <v>45785</v>
          </cell>
          <cell r="C35" t="str">
            <v>Customer Receipt</v>
          </cell>
          <cell r="D35">
            <v>8434</v>
          </cell>
          <cell r="E35">
            <v>0</v>
          </cell>
          <cell r="F35">
            <v>-190166</v>
          </cell>
        </row>
        <row r="36">
          <cell r="A36" t="str">
            <v>BNK0035</v>
          </cell>
          <cell r="B36">
            <v>45753</v>
          </cell>
          <cell r="C36" t="str">
            <v>Salary Payment</v>
          </cell>
          <cell r="D36">
            <v>0</v>
          </cell>
          <cell r="E36">
            <v>33705</v>
          </cell>
          <cell r="F36">
            <v>-223871</v>
          </cell>
        </row>
        <row r="37">
          <cell r="A37" t="str">
            <v>BNK0036</v>
          </cell>
          <cell r="B37">
            <v>45945</v>
          </cell>
          <cell r="C37" t="str">
            <v>Bank Fee</v>
          </cell>
          <cell r="D37">
            <v>0</v>
          </cell>
          <cell r="E37">
            <v>8717</v>
          </cell>
          <cell r="F37">
            <v>-232588</v>
          </cell>
        </row>
        <row r="38">
          <cell r="A38" t="str">
            <v>BNK0037</v>
          </cell>
          <cell r="B38">
            <v>45791</v>
          </cell>
          <cell r="C38" t="str">
            <v>Salary Payment</v>
          </cell>
          <cell r="D38">
            <v>0</v>
          </cell>
          <cell r="E38">
            <v>47139</v>
          </cell>
          <cell r="F38">
            <v>-279727</v>
          </cell>
        </row>
        <row r="39">
          <cell r="A39" t="str">
            <v>BNK0038</v>
          </cell>
          <cell r="B39">
            <v>45767</v>
          </cell>
          <cell r="C39" t="str">
            <v>Bank Fee</v>
          </cell>
          <cell r="D39">
            <v>0</v>
          </cell>
          <cell r="E39">
            <v>41099</v>
          </cell>
          <cell r="F39">
            <v>-320826</v>
          </cell>
        </row>
        <row r="40">
          <cell r="A40" t="str">
            <v>BNK0039</v>
          </cell>
          <cell r="B40">
            <v>46013</v>
          </cell>
          <cell r="C40" t="str">
            <v>Supplier Payment</v>
          </cell>
          <cell r="D40">
            <v>0</v>
          </cell>
          <cell r="E40">
            <v>33191</v>
          </cell>
          <cell r="F40">
            <v>-354017</v>
          </cell>
        </row>
        <row r="41">
          <cell r="A41" t="str">
            <v>BNK0040</v>
          </cell>
          <cell r="B41">
            <v>45720</v>
          </cell>
          <cell r="C41" t="str">
            <v>Customer Receipt</v>
          </cell>
          <cell r="D41">
            <v>9895</v>
          </cell>
          <cell r="E41">
            <v>0</v>
          </cell>
          <cell r="F41">
            <v>-344122</v>
          </cell>
        </row>
        <row r="42">
          <cell r="A42" t="str">
            <v>BNK0041</v>
          </cell>
          <cell r="B42">
            <v>45889</v>
          </cell>
          <cell r="C42" t="str">
            <v>Salary Payment</v>
          </cell>
          <cell r="D42">
            <v>0</v>
          </cell>
          <cell r="E42">
            <v>12315</v>
          </cell>
          <cell r="F42">
            <v>-356437</v>
          </cell>
        </row>
        <row r="43">
          <cell r="A43" t="str">
            <v>BNK0042</v>
          </cell>
          <cell r="B43">
            <v>45702</v>
          </cell>
          <cell r="C43" t="str">
            <v>Bank Fee</v>
          </cell>
          <cell r="D43">
            <v>0</v>
          </cell>
          <cell r="E43">
            <v>45690</v>
          </cell>
          <cell r="F43">
            <v>-402127</v>
          </cell>
        </row>
        <row r="44">
          <cell r="A44" t="str">
            <v>BNK0043</v>
          </cell>
          <cell r="B44">
            <v>45999</v>
          </cell>
          <cell r="C44" t="str">
            <v>Customer Receipt</v>
          </cell>
          <cell r="D44">
            <v>23768</v>
          </cell>
          <cell r="E44">
            <v>0</v>
          </cell>
          <cell r="F44">
            <v>-378359</v>
          </cell>
        </row>
        <row r="45">
          <cell r="A45" t="str">
            <v>BNK0044</v>
          </cell>
          <cell r="B45">
            <v>45939</v>
          </cell>
          <cell r="C45" t="str">
            <v>Bank Fee</v>
          </cell>
          <cell r="D45">
            <v>0</v>
          </cell>
          <cell r="E45">
            <v>36531</v>
          </cell>
          <cell r="F45">
            <v>-414890</v>
          </cell>
        </row>
        <row r="46">
          <cell r="A46" t="str">
            <v>BNK0045</v>
          </cell>
          <cell r="B46">
            <v>45811</v>
          </cell>
          <cell r="C46" t="str">
            <v>Supplier Payment</v>
          </cell>
          <cell r="D46">
            <v>0</v>
          </cell>
          <cell r="E46">
            <v>11322</v>
          </cell>
          <cell r="F46">
            <v>-426212</v>
          </cell>
        </row>
        <row r="47">
          <cell r="A47" t="str">
            <v>BNK0046</v>
          </cell>
          <cell r="B47">
            <v>45843</v>
          </cell>
          <cell r="C47" t="str">
            <v>Supplier Payment</v>
          </cell>
          <cell r="D47">
            <v>0</v>
          </cell>
          <cell r="E47">
            <v>34341</v>
          </cell>
          <cell r="F47">
            <v>-460553</v>
          </cell>
        </row>
        <row r="48">
          <cell r="A48" t="str">
            <v>BNK0047</v>
          </cell>
          <cell r="B48">
            <v>45720</v>
          </cell>
          <cell r="C48" t="str">
            <v>Supplier Payment</v>
          </cell>
          <cell r="D48">
            <v>0</v>
          </cell>
          <cell r="E48">
            <v>14171</v>
          </cell>
          <cell r="F48">
            <v>-474724</v>
          </cell>
        </row>
        <row r="49">
          <cell r="A49" t="str">
            <v>BNK0048</v>
          </cell>
          <cell r="B49">
            <v>45779</v>
          </cell>
          <cell r="C49" t="str">
            <v>Customer Receipt</v>
          </cell>
          <cell r="D49">
            <v>33376</v>
          </cell>
          <cell r="E49">
            <v>0</v>
          </cell>
          <cell r="F49">
            <v>-441348</v>
          </cell>
        </row>
        <row r="50">
          <cell r="A50" t="str">
            <v>BNK0049</v>
          </cell>
          <cell r="B50">
            <v>45842</v>
          </cell>
          <cell r="C50" t="str">
            <v>Bank Fee</v>
          </cell>
          <cell r="D50">
            <v>0</v>
          </cell>
          <cell r="E50">
            <v>37308</v>
          </cell>
          <cell r="F50">
            <v>-478656</v>
          </cell>
        </row>
        <row r="51">
          <cell r="A51" t="str">
            <v>BNK0050</v>
          </cell>
          <cell r="B51">
            <v>45897</v>
          </cell>
          <cell r="C51" t="str">
            <v>Supplier Payment</v>
          </cell>
          <cell r="D51">
            <v>0</v>
          </cell>
          <cell r="E51">
            <v>37152</v>
          </cell>
          <cell r="F51">
            <v>-515808</v>
          </cell>
        </row>
        <row r="52">
          <cell r="A52" t="str">
            <v>BNK0051</v>
          </cell>
          <cell r="B52">
            <v>45971</v>
          </cell>
          <cell r="C52" t="str">
            <v>Customer Receipt</v>
          </cell>
          <cell r="D52">
            <v>6650</v>
          </cell>
          <cell r="E52">
            <v>0</v>
          </cell>
          <cell r="F52">
            <v>-509158</v>
          </cell>
        </row>
        <row r="53">
          <cell r="A53" t="str">
            <v>BNK0052</v>
          </cell>
          <cell r="B53">
            <v>45816</v>
          </cell>
          <cell r="C53" t="str">
            <v>Salary Payment</v>
          </cell>
          <cell r="D53">
            <v>0</v>
          </cell>
          <cell r="E53">
            <v>27093</v>
          </cell>
          <cell r="F53">
            <v>-536251</v>
          </cell>
        </row>
        <row r="54">
          <cell r="A54" t="str">
            <v>BNK0053</v>
          </cell>
          <cell r="B54">
            <v>45927</v>
          </cell>
          <cell r="C54" t="str">
            <v>Salary Payment</v>
          </cell>
          <cell r="D54">
            <v>0</v>
          </cell>
          <cell r="E54">
            <v>27921</v>
          </cell>
          <cell r="F54">
            <v>-564172</v>
          </cell>
        </row>
        <row r="55">
          <cell r="A55" t="str">
            <v>BNK0054</v>
          </cell>
          <cell r="B55">
            <v>45952</v>
          </cell>
          <cell r="C55" t="str">
            <v>Supplier Payment</v>
          </cell>
          <cell r="D55">
            <v>0</v>
          </cell>
          <cell r="E55">
            <v>5833</v>
          </cell>
          <cell r="F55">
            <v>-570005</v>
          </cell>
        </row>
        <row r="56">
          <cell r="A56" t="str">
            <v>BNK0055</v>
          </cell>
          <cell r="B56">
            <v>45820</v>
          </cell>
          <cell r="C56" t="str">
            <v>Customer Receipt</v>
          </cell>
          <cell r="D56">
            <v>43096</v>
          </cell>
          <cell r="E56">
            <v>0</v>
          </cell>
          <cell r="F56">
            <v>-526909</v>
          </cell>
        </row>
        <row r="57">
          <cell r="A57" t="str">
            <v>BNK0056</v>
          </cell>
          <cell r="B57">
            <v>45888</v>
          </cell>
          <cell r="C57" t="str">
            <v>Bank Fee</v>
          </cell>
          <cell r="D57">
            <v>0</v>
          </cell>
          <cell r="E57">
            <v>31528</v>
          </cell>
          <cell r="F57">
            <v>-558437</v>
          </cell>
        </row>
        <row r="58">
          <cell r="A58" t="str">
            <v>BNK0057</v>
          </cell>
          <cell r="B58">
            <v>45723</v>
          </cell>
          <cell r="C58" t="str">
            <v>Supplier Payment</v>
          </cell>
          <cell r="D58">
            <v>0</v>
          </cell>
          <cell r="E58">
            <v>37130</v>
          </cell>
          <cell r="F58">
            <v>-595567</v>
          </cell>
        </row>
        <row r="59">
          <cell r="A59" t="str">
            <v>BNK0058</v>
          </cell>
          <cell r="B59">
            <v>45724</v>
          </cell>
          <cell r="C59" t="str">
            <v>Customer Receipt</v>
          </cell>
          <cell r="D59">
            <v>29352</v>
          </cell>
          <cell r="E59">
            <v>0</v>
          </cell>
          <cell r="F59">
            <v>-566215</v>
          </cell>
        </row>
        <row r="60">
          <cell r="A60" t="str">
            <v>BNK0059</v>
          </cell>
          <cell r="B60">
            <v>45721</v>
          </cell>
          <cell r="C60" t="str">
            <v>Supplier Payment</v>
          </cell>
          <cell r="D60">
            <v>0</v>
          </cell>
          <cell r="E60">
            <v>34954</v>
          </cell>
          <cell r="F60">
            <v>-601169</v>
          </cell>
        </row>
        <row r="61">
          <cell r="A61" t="str">
            <v>BNK0060</v>
          </cell>
          <cell r="B61">
            <v>45813</v>
          </cell>
          <cell r="C61" t="str">
            <v>Supplier Payment</v>
          </cell>
          <cell r="D61">
            <v>0</v>
          </cell>
          <cell r="E61">
            <v>11790</v>
          </cell>
          <cell r="F61">
            <v>-612959</v>
          </cell>
        </row>
        <row r="62">
          <cell r="A62" t="str">
            <v>BNK0061</v>
          </cell>
          <cell r="B62">
            <v>45823</v>
          </cell>
          <cell r="C62" t="str">
            <v>Supplier Payment</v>
          </cell>
          <cell r="D62">
            <v>0</v>
          </cell>
          <cell r="E62">
            <v>47486</v>
          </cell>
          <cell r="F62">
            <v>-660445</v>
          </cell>
        </row>
        <row r="63">
          <cell r="A63" t="str">
            <v>BNK0062</v>
          </cell>
          <cell r="B63">
            <v>45835</v>
          </cell>
          <cell r="C63" t="str">
            <v>Bank Fee</v>
          </cell>
          <cell r="D63">
            <v>0</v>
          </cell>
          <cell r="E63">
            <v>35006</v>
          </cell>
          <cell r="F63">
            <v>-695451</v>
          </cell>
        </row>
        <row r="64">
          <cell r="A64" t="str">
            <v>BNK0063</v>
          </cell>
          <cell r="B64">
            <v>45698</v>
          </cell>
          <cell r="C64" t="str">
            <v>Supplier Payment</v>
          </cell>
          <cell r="D64">
            <v>0</v>
          </cell>
          <cell r="E64">
            <v>17423</v>
          </cell>
          <cell r="F64">
            <v>-712874</v>
          </cell>
        </row>
        <row r="65">
          <cell r="A65" t="str">
            <v>BNK0064</v>
          </cell>
          <cell r="B65">
            <v>45983</v>
          </cell>
          <cell r="C65" t="str">
            <v>Bank Fee</v>
          </cell>
          <cell r="D65">
            <v>0</v>
          </cell>
          <cell r="E65">
            <v>37099</v>
          </cell>
          <cell r="F65">
            <v>-749973</v>
          </cell>
        </row>
        <row r="66">
          <cell r="A66" t="str">
            <v>BNK0065</v>
          </cell>
          <cell r="B66">
            <v>45722</v>
          </cell>
          <cell r="C66" t="str">
            <v>Bank Fee</v>
          </cell>
          <cell r="D66">
            <v>0</v>
          </cell>
          <cell r="E66">
            <v>41961</v>
          </cell>
          <cell r="F66">
            <v>-791934</v>
          </cell>
        </row>
        <row r="67">
          <cell r="A67" t="str">
            <v>BNK0066</v>
          </cell>
          <cell r="B67">
            <v>45972</v>
          </cell>
          <cell r="C67" t="str">
            <v>Customer Receipt</v>
          </cell>
          <cell r="D67">
            <v>35962</v>
          </cell>
          <cell r="E67">
            <v>0</v>
          </cell>
          <cell r="F67">
            <v>-755972</v>
          </cell>
        </row>
        <row r="68">
          <cell r="A68" t="str">
            <v>BNK0067</v>
          </cell>
          <cell r="B68">
            <v>45915</v>
          </cell>
          <cell r="C68" t="str">
            <v>Supplier Payment</v>
          </cell>
          <cell r="D68">
            <v>0</v>
          </cell>
          <cell r="E68">
            <v>43007</v>
          </cell>
          <cell r="F68">
            <v>-798979</v>
          </cell>
        </row>
        <row r="69">
          <cell r="A69" t="str">
            <v>BNK0068</v>
          </cell>
          <cell r="B69">
            <v>45961</v>
          </cell>
          <cell r="C69" t="str">
            <v>Supplier Payment</v>
          </cell>
          <cell r="D69">
            <v>0</v>
          </cell>
          <cell r="E69">
            <v>39053</v>
          </cell>
          <cell r="F69">
            <v>-838032</v>
          </cell>
        </row>
        <row r="70">
          <cell r="A70" t="str">
            <v>BNK0069</v>
          </cell>
          <cell r="B70">
            <v>45745</v>
          </cell>
          <cell r="C70" t="str">
            <v>Bank Fee</v>
          </cell>
          <cell r="D70">
            <v>0</v>
          </cell>
          <cell r="E70">
            <v>44170</v>
          </cell>
          <cell r="F70">
            <v>-882202</v>
          </cell>
        </row>
        <row r="71">
          <cell r="A71" t="str">
            <v>BNK0070</v>
          </cell>
          <cell r="B71">
            <v>45946</v>
          </cell>
          <cell r="C71" t="str">
            <v>Customer Receipt</v>
          </cell>
          <cell r="D71">
            <v>3699</v>
          </cell>
          <cell r="E71">
            <v>0</v>
          </cell>
          <cell r="F71">
            <v>-878503</v>
          </cell>
        </row>
        <row r="72">
          <cell r="A72" t="str">
            <v>BNK0071</v>
          </cell>
          <cell r="B72">
            <v>45699</v>
          </cell>
          <cell r="C72" t="str">
            <v>Bank Fee</v>
          </cell>
          <cell r="D72">
            <v>0</v>
          </cell>
          <cell r="E72">
            <v>3979</v>
          </cell>
          <cell r="F72">
            <v>-882482</v>
          </cell>
        </row>
        <row r="73">
          <cell r="A73" t="str">
            <v>BNK0072</v>
          </cell>
          <cell r="B73">
            <v>45991</v>
          </cell>
          <cell r="C73" t="str">
            <v>Salary Payment</v>
          </cell>
          <cell r="D73">
            <v>0</v>
          </cell>
          <cell r="E73">
            <v>14815</v>
          </cell>
          <cell r="F73">
            <v>-897297</v>
          </cell>
        </row>
        <row r="74">
          <cell r="A74" t="str">
            <v>BNK0073</v>
          </cell>
          <cell r="B74">
            <v>45974</v>
          </cell>
          <cell r="C74" t="str">
            <v>Customer Receipt</v>
          </cell>
          <cell r="D74">
            <v>42876</v>
          </cell>
          <cell r="E74">
            <v>0</v>
          </cell>
          <cell r="F74">
            <v>-854421</v>
          </cell>
        </row>
        <row r="75">
          <cell r="A75" t="str">
            <v>BNK0074</v>
          </cell>
          <cell r="B75">
            <v>45912</v>
          </cell>
          <cell r="C75" t="str">
            <v>Bank Fee</v>
          </cell>
          <cell r="D75">
            <v>0</v>
          </cell>
          <cell r="E75">
            <v>42101</v>
          </cell>
          <cell r="F75">
            <v>-896522</v>
          </cell>
        </row>
        <row r="76">
          <cell r="A76" t="str">
            <v>BNK0075</v>
          </cell>
          <cell r="B76">
            <v>45986</v>
          </cell>
          <cell r="C76" t="str">
            <v>Salary Payment</v>
          </cell>
          <cell r="D76">
            <v>0</v>
          </cell>
          <cell r="E76">
            <v>20798</v>
          </cell>
          <cell r="F76">
            <v>-917320</v>
          </cell>
        </row>
        <row r="77">
          <cell r="A77" t="str">
            <v>BNK0076</v>
          </cell>
          <cell r="B77">
            <v>45783</v>
          </cell>
          <cell r="C77" t="str">
            <v>Salary Payment</v>
          </cell>
          <cell r="D77">
            <v>0</v>
          </cell>
          <cell r="E77">
            <v>45891</v>
          </cell>
          <cell r="F77">
            <v>-963211</v>
          </cell>
        </row>
        <row r="78">
          <cell r="A78" t="str">
            <v>BNK0077</v>
          </cell>
          <cell r="B78">
            <v>45810</v>
          </cell>
          <cell r="C78" t="str">
            <v>Customer Receipt</v>
          </cell>
          <cell r="D78">
            <v>30723</v>
          </cell>
          <cell r="E78">
            <v>0</v>
          </cell>
          <cell r="F78">
            <v>-932488</v>
          </cell>
        </row>
        <row r="79">
          <cell r="A79" t="str">
            <v>BNK0078</v>
          </cell>
          <cell r="B79">
            <v>46010</v>
          </cell>
          <cell r="C79" t="str">
            <v>Supplier Payment</v>
          </cell>
          <cell r="D79">
            <v>0</v>
          </cell>
          <cell r="E79">
            <v>4926</v>
          </cell>
          <cell r="F79">
            <v>-937414</v>
          </cell>
        </row>
        <row r="80">
          <cell r="A80" t="str">
            <v>BNK0079</v>
          </cell>
          <cell r="B80">
            <v>45883</v>
          </cell>
          <cell r="C80" t="str">
            <v>Salary Payment</v>
          </cell>
          <cell r="D80">
            <v>0</v>
          </cell>
          <cell r="E80">
            <v>28238</v>
          </cell>
          <cell r="F80">
            <v>-965652</v>
          </cell>
        </row>
        <row r="81">
          <cell r="A81" t="str">
            <v>BNK0080</v>
          </cell>
          <cell r="B81">
            <v>45895</v>
          </cell>
          <cell r="C81" t="str">
            <v>Bank Fee</v>
          </cell>
          <cell r="D81">
            <v>0</v>
          </cell>
          <cell r="E81">
            <v>14370</v>
          </cell>
          <cell r="F81">
            <v>-980022</v>
          </cell>
        </row>
        <row r="82">
          <cell r="A82" t="str">
            <v>BNK0081</v>
          </cell>
          <cell r="B82">
            <v>45968</v>
          </cell>
          <cell r="C82" t="str">
            <v>Bank Fee</v>
          </cell>
          <cell r="D82">
            <v>0</v>
          </cell>
          <cell r="E82">
            <v>10415</v>
          </cell>
          <cell r="F82">
            <v>-990437</v>
          </cell>
        </row>
        <row r="83">
          <cell r="A83" t="str">
            <v>BNK0082</v>
          </cell>
          <cell r="B83">
            <v>45821</v>
          </cell>
          <cell r="C83" t="str">
            <v>Bank Fee</v>
          </cell>
          <cell r="D83">
            <v>0</v>
          </cell>
          <cell r="E83">
            <v>49116</v>
          </cell>
          <cell r="F83">
            <v>-1039553</v>
          </cell>
        </row>
        <row r="84">
          <cell r="A84" t="str">
            <v>BNK0083</v>
          </cell>
          <cell r="B84">
            <v>45862</v>
          </cell>
          <cell r="C84" t="str">
            <v>Bank Fee</v>
          </cell>
          <cell r="D84">
            <v>0</v>
          </cell>
          <cell r="E84">
            <v>9569</v>
          </cell>
          <cell r="F84">
            <v>-1049122</v>
          </cell>
        </row>
        <row r="85">
          <cell r="A85" t="str">
            <v>BNK0084</v>
          </cell>
          <cell r="B85">
            <v>45921</v>
          </cell>
          <cell r="C85" t="str">
            <v>Customer Receipt</v>
          </cell>
          <cell r="D85">
            <v>37808</v>
          </cell>
          <cell r="E85">
            <v>0</v>
          </cell>
          <cell r="F85">
            <v>-1011314</v>
          </cell>
        </row>
        <row r="86">
          <cell r="A86" t="str">
            <v>BNK0085</v>
          </cell>
          <cell r="B86">
            <v>45821</v>
          </cell>
          <cell r="C86" t="str">
            <v>Salary Payment</v>
          </cell>
          <cell r="D86">
            <v>0</v>
          </cell>
          <cell r="E86">
            <v>16842</v>
          </cell>
          <cell r="F86">
            <v>-1028156</v>
          </cell>
        </row>
        <row r="87">
          <cell r="A87" t="str">
            <v>BNK0086</v>
          </cell>
          <cell r="B87">
            <v>45720</v>
          </cell>
          <cell r="C87" t="str">
            <v>Salary Payment</v>
          </cell>
          <cell r="D87">
            <v>0</v>
          </cell>
          <cell r="E87">
            <v>18529</v>
          </cell>
          <cell r="F87">
            <v>-1046685</v>
          </cell>
        </row>
        <row r="88">
          <cell r="A88" t="str">
            <v>BNK0087</v>
          </cell>
          <cell r="B88">
            <v>45784</v>
          </cell>
          <cell r="C88" t="str">
            <v>Customer Receipt</v>
          </cell>
          <cell r="D88">
            <v>10232</v>
          </cell>
          <cell r="E88">
            <v>0</v>
          </cell>
          <cell r="F88">
            <v>-1036453</v>
          </cell>
        </row>
        <row r="89">
          <cell r="A89" t="str">
            <v>BNK0088</v>
          </cell>
          <cell r="B89">
            <v>45683</v>
          </cell>
          <cell r="C89" t="str">
            <v>Salary Payment</v>
          </cell>
          <cell r="D89">
            <v>0</v>
          </cell>
          <cell r="E89">
            <v>20019</v>
          </cell>
          <cell r="F89">
            <v>-1056472</v>
          </cell>
        </row>
        <row r="90">
          <cell r="A90" t="str">
            <v>BNK0089</v>
          </cell>
          <cell r="B90">
            <v>45973</v>
          </cell>
          <cell r="C90" t="str">
            <v>Supplier Payment</v>
          </cell>
          <cell r="D90">
            <v>0</v>
          </cell>
          <cell r="E90">
            <v>28402</v>
          </cell>
          <cell r="F90">
            <v>-1084874</v>
          </cell>
        </row>
        <row r="91">
          <cell r="A91" t="str">
            <v>BNK0090</v>
          </cell>
          <cell r="B91">
            <v>45739</v>
          </cell>
          <cell r="C91" t="str">
            <v>Bank Fee</v>
          </cell>
          <cell r="D91">
            <v>0</v>
          </cell>
          <cell r="E91">
            <v>22458</v>
          </cell>
          <cell r="F91">
            <v>-1107332</v>
          </cell>
        </row>
        <row r="92">
          <cell r="A92" t="str">
            <v>BNK0091</v>
          </cell>
          <cell r="B92">
            <v>45755</v>
          </cell>
          <cell r="C92" t="str">
            <v>Salary Payment</v>
          </cell>
          <cell r="D92">
            <v>0</v>
          </cell>
          <cell r="E92">
            <v>11442</v>
          </cell>
          <cell r="F92">
            <v>-1118774</v>
          </cell>
        </row>
        <row r="93">
          <cell r="A93" t="str">
            <v>BNK0092</v>
          </cell>
          <cell r="B93">
            <v>45921</v>
          </cell>
          <cell r="C93" t="str">
            <v>Salary Payment</v>
          </cell>
          <cell r="D93">
            <v>0</v>
          </cell>
          <cell r="E93">
            <v>31593</v>
          </cell>
          <cell r="F93">
            <v>-1150367</v>
          </cell>
        </row>
        <row r="94">
          <cell r="A94" t="str">
            <v>BNK0093</v>
          </cell>
          <cell r="B94">
            <v>45815</v>
          </cell>
          <cell r="C94" t="str">
            <v>Customer Receipt</v>
          </cell>
          <cell r="D94">
            <v>33595</v>
          </cell>
          <cell r="E94">
            <v>0</v>
          </cell>
          <cell r="F94">
            <v>-1116772</v>
          </cell>
        </row>
        <row r="95">
          <cell r="A95" t="str">
            <v>BNK0094</v>
          </cell>
          <cell r="B95">
            <v>45704</v>
          </cell>
          <cell r="C95" t="str">
            <v>Salary Payment</v>
          </cell>
          <cell r="D95">
            <v>0</v>
          </cell>
          <cell r="E95">
            <v>26771</v>
          </cell>
          <cell r="F95">
            <v>-1143543</v>
          </cell>
        </row>
        <row r="96">
          <cell r="A96" t="str">
            <v>BNK0095</v>
          </cell>
          <cell r="B96">
            <v>45781</v>
          </cell>
          <cell r="C96" t="str">
            <v>Bank Fee</v>
          </cell>
          <cell r="D96">
            <v>0</v>
          </cell>
          <cell r="E96">
            <v>15099</v>
          </cell>
          <cell r="F96">
            <v>-1158642</v>
          </cell>
        </row>
        <row r="97">
          <cell r="A97" t="str">
            <v>BNK0096</v>
          </cell>
          <cell r="B97">
            <v>45682</v>
          </cell>
          <cell r="C97" t="str">
            <v>Bank Fee</v>
          </cell>
          <cell r="D97">
            <v>0</v>
          </cell>
          <cell r="E97">
            <v>4312</v>
          </cell>
          <cell r="F97">
            <v>-1162954</v>
          </cell>
        </row>
        <row r="98">
          <cell r="A98" t="str">
            <v>BNK0097</v>
          </cell>
          <cell r="B98">
            <v>45911</v>
          </cell>
          <cell r="C98" t="str">
            <v>Salary Payment</v>
          </cell>
          <cell r="D98">
            <v>0</v>
          </cell>
          <cell r="E98">
            <v>40158</v>
          </cell>
          <cell r="F98">
            <v>-1203112</v>
          </cell>
        </row>
        <row r="99">
          <cell r="A99" t="str">
            <v>BNK0098</v>
          </cell>
          <cell r="B99">
            <v>45804</v>
          </cell>
          <cell r="C99" t="str">
            <v>Customer Receipt</v>
          </cell>
          <cell r="D99">
            <v>36172</v>
          </cell>
          <cell r="E99">
            <v>0</v>
          </cell>
          <cell r="F99">
            <v>-1166940</v>
          </cell>
        </row>
        <row r="100">
          <cell r="A100" t="str">
            <v>BNK0099</v>
          </cell>
          <cell r="B100">
            <v>45713</v>
          </cell>
          <cell r="C100" t="str">
            <v>Supplier Payment</v>
          </cell>
          <cell r="D100">
            <v>0</v>
          </cell>
          <cell r="E100">
            <v>29241</v>
          </cell>
          <cell r="F100">
            <v>-1196181</v>
          </cell>
        </row>
        <row r="101">
          <cell r="A101" t="str">
            <v>BNK0100</v>
          </cell>
          <cell r="B101">
            <v>45793</v>
          </cell>
          <cell r="C101" t="str">
            <v>Bank Fee</v>
          </cell>
          <cell r="D101">
            <v>0</v>
          </cell>
          <cell r="E101">
            <v>48677</v>
          </cell>
          <cell r="F101">
            <v>-1244858</v>
          </cell>
        </row>
        <row r="102">
          <cell r="A102" t="str">
            <v>BNK0101</v>
          </cell>
          <cell r="B102">
            <v>45864</v>
          </cell>
          <cell r="C102" t="str">
            <v>Customer Receipt</v>
          </cell>
          <cell r="D102">
            <v>24982</v>
          </cell>
          <cell r="E102">
            <v>0</v>
          </cell>
          <cell r="F102">
            <v>-1219876</v>
          </cell>
        </row>
        <row r="103">
          <cell r="A103" t="str">
            <v>BNK0102</v>
          </cell>
          <cell r="B103">
            <v>45863</v>
          </cell>
          <cell r="C103" t="str">
            <v>Supplier Payment</v>
          </cell>
          <cell r="D103">
            <v>0</v>
          </cell>
          <cell r="E103">
            <v>4352</v>
          </cell>
          <cell r="F103">
            <v>-1224228</v>
          </cell>
        </row>
        <row r="104">
          <cell r="A104" t="str">
            <v>BNK0103</v>
          </cell>
          <cell r="B104">
            <v>45843</v>
          </cell>
          <cell r="C104" t="str">
            <v>Bank Fee</v>
          </cell>
          <cell r="D104">
            <v>0</v>
          </cell>
          <cell r="E104">
            <v>37256</v>
          </cell>
          <cell r="F104">
            <v>-1261484</v>
          </cell>
        </row>
        <row r="105">
          <cell r="A105" t="str">
            <v>BNK0104</v>
          </cell>
          <cell r="B105">
            <v>45695</v>
          </cell>
          <cell r="C105" t="str">
            <v>Salary Payment</v>
          </cell>
          <cell r="D105">
            <v>0</v>
          </cell>
          <cell r="E105">
            <v>26319</v>
          </cell>
          <cell r="F105">
            <v>-1287803</v>
          </cell>
        </row>
        <row r="106">
          <cell r="A106" t="str">
            <v>BNK0105</v>
          </cell>
          <cell r="B106">
            <v>45939</v>
          </cell>
          <cell r="C106" t="str">
            <v>Customer Receipt</v>
          </cell>
          <cell r="D106">
            <v>19331</v>
          </cell>
          <cell r="E106">
            <v>0</v>
          </cell>
          <cell r="F106">
            <v>-1268472</v>
          </cell>
        </row>
        <row r="107">
          <cell r="A107" t="str">
            <v>BNK0106</v>
          </cell>
          <cell r="B107">
            <v>45723</v>
          </cell>
          <cell r="C107" t="str">
            <v>Salary Payment</v>
          </cell>
          <cell r="D107">
            <v>0</v>
          </cell>
          <cell r="E107">
            <v>7336</v>
          </cell>
          <cell r="F107">
            <v>-1275808</v>
          </cell>
        </row>
        <row r="108">
          <cell r="A108" t="str">
            <v>BNK0107</v>
          </cell>
          <cell r="B108">
            <v>45849</v>
          </cell>
          <cell r="C108" t="str">
            <v>Bank Fee</v>
          </cell>
          <cell r="D108">
            <v>0</v>
          </cell>
          <cell r="E108">
            <v>23222</v>
          </cell>
          <cell r="F108">
            <v>-1299030</v>
          </cell>
        </row>
        <row r="109">
          <cell r="A109" t="str">
            <v>BNK0108</v>
          </cell>
          <cell r="B109">
            <v>45731</v>
          </cell>
          <cell r="C109" t="str">
            <v>Salary Payment</v>
          </cell>
          <cell r="D109">
            <v>0</v>
          </cell>
          <cell r="E109">
            <v>14045</v>
          </cell>
          <cell r="F109">
            <v>-1313075</v>
          </cell>
        </row>
        <row r="110">
          <cell r="A110" t="str">
            <v>BNK0109</v>
          </cell>
          <cell r="B110">
            <v>45914</v>
          </cell>
          <cell r="C110" t="str">
            <v>Customer Receipt</v>
          </cell>
          <cell r="D110">
            <v>3638</v>
          </cell>
          <cell r="E110">
            <v>0</v>
          </cell>
          <cell r="F110">
            <v>-1309437</v>
          </cell>
        </row>
        <row r="111">
          <cell r="A111" t="str">
            <v>BNK0110</v>
          </cell>
          <cell r="B111">
            <v>45677</v>
          </cell>
          <cell r="C111" t="str">
            <v>Bank Fee</v>
          </cell>
          <cell r="D111">
            <v>0</v>
          </cell>
          <cell r="E111">
            <v>9980</v>
          </cell>
          <cell r="F111">
            <v>-1319417</v>
          </cell>
        </row>
        <row r="112">
          <cell r="A112" t="str">
            <v>BNK0111</v>
          </cell>
          <cell r="B112">
            <v>45900</v>
          </cell>
          <cell r="C112" t="str">
            <v>Salary Payment</v>
          </cell>
          <cell r="D112">
            <v>0</v>
          </cell>
          <cell r="E112">
            <v>35034</v>
          </cell>
          <cell r="F112">
            <v>-1354451</v>
          </cell>
        </row>
        <row r="113">
          <cell r="A113" t="str">
            <v>BNK0112</v>
          </cell>
          <cell r="B113">
            <v>45734</v>
          </cell>
          <cell r="C113" t="str">
            <v>Supplier Payment</v>
          </cell>
          <cell r="D113">
            <v>0</v>
          </cell>
          <cell r="E113">
            <v>40731</v>
          </cell>
          <cell r="F113">
            <v>-1395182</v>
          </cell>
        </row>
        <row r="114">
          <cell r="A114" t="str">
            <v>BNK0113</v>
          </cell>
          <cell r="B114">
            <v>45825</v>
          </cell>
          <cell r="C114" t="str">
            <v>Bank Fee</v>
          </cell>
          <cell r="D114">
            <v>0</v>
          </cell>
          <cell r="E114">
            <v>41178</v>
          </cell>
          <cell r="F114">
            <v>-1436360</v>
          </cell>
        </row>
        <row r="115">
          <cell r="A115" t="str">
            <v>BNK0114</v>
          </cell>
          <cell r="B115">
            <v>45741</v>
          </cell>
          <cell r="C115" t="str">
            <v>Bank Fee</v>
          </cell>
          <cell r="D115">
            <v>0</v>
          </cell>
          <cell r="E115">
            <v>26752</v>
          </cell>
          <cell r="F115">
            <v>-1463112</v>
          </cell>
        </row>
        <row r="116">
          <cell r="A116" t="str">
            <v>BNK0115</v>
          </cell>
          <cell r="B116">
            <v>45961</v>
          </cell>
          <cell r="C116" t="str">
            <v>Salary Payment</v>
          </cell>
          <cell r="D116">
            <v>0</v>
          </cell>
          <cell r="E116">
            <v>23044</v>
          </cell>
          <cell r="F116">
            <v>-1486156</v>
          </cell>
        </row>
        <row r="117">
          <cell r="A117" t="str">
            <v>BNK0116</v>
          </cell>
          <cell r="B117">
            <v>46020</v>
          </cell>
          <cell r="C117" t="str">
            <v>Bank Fee</v>
          </cell>
          <cell r="D117">
            <v>0</v>
          </cell>
          <cell r="E117">
            <v>37891</v>
          </cell>
          <cell r="F117">
            <v>-1524047</v>
          </cell>
        </row>
        <row r="118">
          <cell r="A118" t="str">
            <v>BNK0117</v>
          </cell>
          <cell r="B118">
            <v>45901</v>
          </cell>
          <cell r="C118" t="str">
            <v>Bank Fee</v>
          </cell>
          <cell r="D118">
            <v>0</v>
          </cell>
          <cell r="E118">
            <v>2090</v>
          </cell>
          <cell r="F118">
            <v>-1526137</v>
          </cell>
        </row>
        <row r="119">
          <cell r="A119" t="str">
            <v>BNK0118</v>
          </cell>
          <cell r="B119">
            <v>45827</v>
          </cell>
          <cell r="C119" t="str">
            <v>Customer Receipt</v>
          </cell>
          <cell r="D119">
            <v>45158</v>
          </cell>
          <cell r="E119">
            <v>0</v>
          </cell>
          <cell r="F119">
            <v>-1480979</v>
          </cell>
        </row>
        <row r="120">
          <cell r="A120" t="str">
            <v>BNK0119</v>
          </cell>
          <cell r="B120">
            <v>45871</v>
          </cell>
          <cell r="C120" t="str">
            <v>Bank Fee</v>
          </cell>
          <cell r="D120">
            <v>0</v>
          </cell>
          <cell r="E120">
            <v>39253</v>
          </cell>
          <cell r="F120">
            <v>-1520232</v>
          </cell>
        </row>
        <row r="121">
          <cell r="A121" t="str">
            <v>BNK0120</v>
          </cell>
          <cell r="B121">
            <v>46010</v>
          </cell>
          <cell r="C121" t="str">
            <v>Customer Receipt</v>
          </cell>
          <cell r="D121">
            <v>42239</v>
          </cell>
          <cell r="E121">
            <v>0</v>
          </cell>
          <cell r="F121">
            <v>-1477993</v>
          </cell>
        </row>
      </sheetData>
      <sheetData sheetId="2">
        <row r="2">
          <cell r="B2">
            <v>45808</v>
          </cell>
          <cell r="D2">
            <v>14211</v>
          </cell>
          <cell r="E2">
            <v>0</v>
          </cell>
        </row>
        <row r="3">
          <cell r="B3">
            <v>45760</v>
          </cell>
          <cell r="D3">
            <v>0</v>
          </cell>
          <cell r="E3">
            <v>3746</v>
          </cell>
        </row>
        <row r="4">
          <cell r="B4">
            <v>45816</v>
          </cell>
          <cell r="D4">
            <v>0</v>
          </cell>
          <cell r="E4">
            <v>34776</v>
          </cell>
        </row>
        <row r="5">
          <cell r="B5">
            <v>45936</v>
          </cell>
          <cell r="D5">
            <v>0</v>
          </cell>
          <cell r="E5">
            <v>32024</v>
          </cell>
        </row>
        <row r="6">
          <cell r="B6">
            <v>45676</v>
          </cell>
          <cell r="D6">
            <v>0</v>
          </cell>
          <cell r="E6">
            <v>43395</v>
          </cell>
        </row>
        <row r="7">
          <cell r="B7">
            <v>45804</v>
          </cell>
          <cell r="D7">
            <v>24394</v>
          </cell>
          <cell r="E7">
            <v>0</v>
          </cell>
        </row>
        <row r="8">
          <cell r="B8">
            <v>45993</v>
          </cell>
          <cell r="D8">
            <v>0</v>
          </cell>
          <cell r="E8">
            <v>22753</v>
          </cell>
        </row>
        <row r="9">
          <cell r="B9">
            <v>45721</v>
          </cell>
          <cell r="D9">
            <v>0</v>
          </cell>
          <cell r="E9">
            <v>25118</v>
          </cell>
        </row>
        <row r="10">
          <cell r="B10">
            <v>45862</v>
          </cell>
          <cell r="D10">
            <v>0</v>
          </cell>
          <cell r="E10">
            <v>49713</v>
          </cell>
        </row>
        <row r="11">
          <cell r="B11">
            <v>45855</v>
          </cell>
          <cell r="D11">
            <v>0</v>
          </cell>
          <cell r="E11">
            <v>23219</v>
          </cell>
        </row>
        <row r="12">
          <cell r="B12">
            <v>45912</v>
          </cell>
          <cell r="D12">
            <v>0</v>
          </cell>
          <cell r="E12">
            <v>46355</v>
          </cell>
        </row>
        <row r="13">
          <cell r="B13">
            <v>45846</v>
          </cell>
          <cell r="D13">
            <v>0</v>
          </cell>
          <cell r="E13">
            <v>35031</v>
          </cell>
        </row>
        <row r="14">
          <cell r="B14">
            <v>45700</v>
          </cell>
          <cell r="D14">
            <v>0</v>
          </cell>
          <cell r="E14">
            <v>48650</v>
          </cell>
        </row>
        <row r="15">
          <cell r="B15">
            <v>45698</v>
          </cell>
          <cell r="D15">
            <v>0</v>
          </cell>
          <cell r="E15">
            <v>29220</v>
          </cell>
        </row>
        <row r="16">
          <cell r="B16">
            <v>45937</v>
          </cell>
          <cell r="D16">
            <v>0</v>
          </cell>
          <cell r="E16">
            <v>20252</v>
          </cell>
        </row>
        <row r="17">
          <cell r="B17">
            <v>45710</v>
          </cell>
          <cell r="D17">
            <v>0</v>
          </cell>
          <cell r="E17">
            <v>6247</v>
          </cell>
        </row>
        <row r="18">
          <cell r="B18">
            <v>45996</v>
          </cell>
          <cell r="D18">
            <v>0</v>
          </cell>
          <cell r="E18">
            <v>20375</v>
          </cell>
        </row>
        <row r="19">
          <cell r="B19">
            <v>45886</v>
          </cell>
          <cell r="D19">
            <v>0</v>
          </cell>
          <cell r="E19">
            <v>40493</v>
          </cell>
        </row>
        <row r="20">
          <cell r="B20">
            <v>45743</v>
          </cell>
          <cell r="D20">
            <v>0</v>
          </cell>
          <cell r="E20">
            <v>46204</v>
          </cell>
        </row>
        <row r="21">
          <cell r="B21">
            <v>45837</v>
          </cell>
          <cell r="D21">
            <v>30303</v>
          </cell>
          <cell r="E21">
            <v>0</v>
          </cell>
        </row>
        <row r="22">
          <cell r="B22">
            <v>45838</v>
          </cell>
          <cell r="D22">
            <v>0</v>
          </cell>
          <cell r="E22">
            <v>41294</v>
          </cell>
        </row>
        <row r="23">
          <cell r="B23">
            <v>45798</v>
          </cell>
          <cell r="D23">
            <v>42908</v>
          </cell>
          <cell r="E23">
            <v>0</v>
          </cell>
        </row>
        <row r="24">
          <cell r="B24">
            <v>45696</v>
          </cell>
          <cell r="D24">
            <v>0</v>
          </cell>
          <cell r="E24">
            <v>44986</v>
          </cell>
        </row>
        <row r="25">
          <cell r="B25">
            <v>45844</v>
          </cell>
          <cell r="D25">
            <v>0</v>
          </cell>
          <cell r="E25">
            <v>34625</v>
          </cell>
        </row>
        <row r="26">
          <cell r="B26">
            <v>45673</v>
          </cell>
          <cell r="D26">
            <v>0</v>
          </cell>
          <cell r="E26">
            <v>10357</v>
          </cell>
        </row>
        <row r="27">
          <cell r="B27">
            <v>45675</v>
          </cell>
          <cell r="D27">
            <v>9272</v>
          </cell>
          <cell r="E27">
            <v>0</v>
          </cell>
        </row>
        <row r="28">
          <cell r="B28">
            <v>45778</v>
          </cell>
          <cell r="D28">
            <v>0</v>
          </cell>
          <cell r="E28">
            <v>43281</v>
          </cell>
        </row>
        <row r="29">
          <cell r="B29">
            <v>45843</v>
          </cell>
          <cell r="D29">
            <v>26090</v>
          </cell>
          <cell r="E29">
            <v>0</v>
          </cell>
        </row>
        <row r="30">
          <cell r="B30">
            <v>45967</v>
          </cell>
          <cell r="D30">
            <v>0</v>
          </cell>
          <cell r="E30">
            <v>11055</v>
          </cell>
        </row>
        <row r="31">
          <cell r="B31">
            <v>45847</v>
          </cell>
          <cell r="D31">
            <v>0</v>
          </cell>
          <cell r="E31">
            <v>25380</v>
          </cell>
        </row>
        <row r="32">
          <cell r="B32">
            <v>45697</v>
          </cell>
          <cell r="D32">
            <v>0</v>
          </cell>
          <cell r="E32">
            <v>38612</v>
          </cell>
        </row>
        <row r="33">
          <cell r="B33">
            <v>45929</v>
          </cell>
          <cell r="D33">
            <v>0</v>
          </cell>
          <cell r="E33">
            <v>25048</v>
          </cell>
        </row>
        <row r="34">
          <cell r="B34">
            <v>45818</v>
          </cell>
          <cell r="D34">
            <v>0</v>
          </cell>
          <cell r="E34">
            <v>43569</v>
          </cell>
        </row>
        <row r="35">
          <cell r="B35">
            <v>45785</v>
          </cell>
          <cell r="D35">
            <v>8434</v>
          </cell>
          <cell r="E35">
            <v>0</v>
          </cell>
        </row>
        <row r="36">
          <cell r="B36">
            <v>45753</v>
          </cell>
          <cell r="D36">
            <v>0</v>
          </cell>
          <cell r="E36">
            <v>33705</v>
          </cell>
        </row>
        <row r="37">
          <cell r="B37">
            <v>45945</v>
          </cell>
          <cell r="D37">
            <v>0</v>
          </cell>
          <cell r="E37">
            <v>8717</v>
          </cell>
        </row>
        <row r="38">
          <cell r="B38">
            <v>45791</v>
          </cell>
          <cell r="D38">
            <v>0</v>
          </cell>
          <cell r="E38">
            <v>47139</v>
          </cell>
        </row>
        <row r="39">
          <cell r="B39">
            <v>45767</v>
          </cell>
          <cell r="D39">
            <v>0</v>
          </cell>
          <cell r="E39">
            <v>41099</v>
          </cell>
        </row>
        <row r="40">
          <cell r="B40">
            <v>46013</v>
          </cell>
          <cell r="D40">
            <v>0</v>
          </cell>
          <cell r="E40">
            <v>33191</v>
          </cell>
        </row>
        <row r="41">
          <cell r="B41">
            <v>45720</v>
          </cell>
          <cell r="D41">
            <v>9895</v>
          </cell>
          <cell r="E41">
            <v>0</v>
          </cell>
        </row>
        <row r="42">
          <cell r="B42">
            <v>45889</v>
          </cell>
          <cell r="D42">
            <v>0</v>
          </cell>
          <cell r="E42">
            <v>12315</v>
          </cell>
        </row>
        <row r="43">
          <cell r="B43">
            <v>45702</v>
          </cell>
          <cell r="D43">
            <v>0</v>
          </cell>
          <cell r="E43">
            <v>45690</v>
          </cell>
        </row>
        <row r="44">
          <cell r="B44">
            <v>45999</v>
          </cell>
          <cell r="D44">
            <v>23768</v>
          </cell>
          <cell r="E44">
            <v>0</v>
          </cell>
        </row>
        <row r="45">
          <cell r="B45">
            <v>45939</v>
          </cell>
          <cell r="D45">
            <v>0</v>
          </cell>
          <cell r="E45">
            <v>36531</v>
          </cell>
        </row>
        <row r="46">
          <cell r="B46">
            <v>45811</v>
          </cell>
          <cell r="D46">
            <v>0</v>
          </cell>
          <cell r="E46">
            <v>11322</v>
          </cell>
        </row>
        <row r="47">
          <cell r="B47">
            <v>45843</v>
          </cell>
          <cell r="D47">
            <v>0</v>
          </cell>
          <cell r="E47">
            <v>34341</v>
          </cell>
        </row>
        <row r="48">
          <cell r="B48">
            <v>45720</v>
          </cell>
          <cell r="D48">
            <v>0</v>
          </cell>
          <cell r="E48">
            <v>14171</v>
          </cell>
        </row>
        <row r="49">
          <cell r="B49">
            <v>45779</v>
          </cell>
          <cell r="D49">
            <v>33376</v>
          </cell>
          <cell r="E49">
            <v>0</v>
          </cell>
        </row>
        <row r="50">
          <cell r="B50">
            <v>45842</v>
          </cell>
          <cell r="D50">
            <v>0</v>
          </cell>
          <cell r="E50">
            <v>37308</v>
          </cell>
        </row>
        <row r="51">
          <cell r="B51">
            <v>45897</v>
          </cell>
          <cell r="D51">
            <v>0</v>
          </cell>
          <cell r="E51">
            <v>37152</v>
          </cell>
        </row>
        <row r="52">
          <cell r="B52">
            <v>45971</v>
          </cell>
          <cell r="D52">
            <v>6650</v>
          </cell>
          <cell r="E52">
            <v>0</v>
          </cell>
        </row>
        <row r="53">
          <cell r="B53">
            <v>45816</v>
          </cell>
          <cell r="D53">
            <v>0</v>
          </cell>
          <cell r="E53">
            <v>27093</v>
          </cell>
        </row>
        <row r="54">
          <cell r="B54">
            <v>45927</v>
          </cell>
          <cell r="D54">
            <v>0</v>
          </cell>
          <cell r="E54">
            <v>27921</v>
          </cell>
        </row>
        <row r="55">
          <cell r="B55">
            <v>45952</v>
          </cell>
          <cell r="D55">
            <v>0</v>
          </cell>
          <cell r="E55">
            <v>5833</v>
          </cell>
        </row>
        <row r="56">
          <cell r="B56">
            <v>45820</v>
          </cell>
          <cell r="D56">
            <v>43096</v>
          </cell>
          <cell r="E56">
            <v>0</v>
          </cell>
        </row>
        <row r="57">
          <cell r="B57">
            <v>45888</v>
          </cell>
          <cell r="D57">
            <v>0</v>
          </cell>
          <cell r="E57">
            <v>31528</v>
          </cell>
        </row>
        <row r="58">
          <cell r="B58">
            <v>45723</v>
          </cell>
          <cell r="D58">
            <v>0</v>
          </cell>
          <cell r="E58">
            <v>37130</v>
          </cell>
        </row>
        <row r="59">
          <cell r="B59">
            <v>45724</v>
          </cell>
          <cell r="D59">
            <v>29352</v>
          </cell>
          <cell r="E59">
            <v>0</v>
          </cell>
        </row>
        <row r="60">
          <cell r="B60">
            <v>45721</v>
          </cell>
          <cell r="D60">
            <v>0</v>
          </cell>
          <cell r="E60">
            <v>34954</v>
          </cell>
        </row>
        <row r="61">
          <cell r="B61">
            <v>45813</v>
          </cell>
          <cell r="D61">
            <v>0</v>
          </cell>
          <cell r="E61">
            <v>11790</v>
          </cell>
        </row>
        <row r="62">
          <cell r="B62">
            <v>45823</v>
          </cell>
          <cell r="D62">
            <v>0</v>
          </cell>
          <cell r="E62">
            <v>47486</v>
          </cell>
        </row>
        <row r="63">
          <cell r="B63">
            <v>45835</v>
          </cell>
          <cell r="D63">
            <v>0</v>
          </cell>
          <cell r="E63">
            <v>35006</v>
          </cell>
        </row>
        <row r="64">
          <cell r="B64">
            <v>45698</v>
          </cell>
          <cell r="D64">
            <v>0</v>
          </cell>
          <cell r="E64">
            <v>17423</v>
          </cell>
        </row>
        <row r="65">
          <cell r="B65">
            <v>45983</v>
          </cell>
          <cell r="D65">
            <v>0</v>
          </cell>
          <cell r="E65">
            <v>37099</v>
          </cell>
        </row>
        <row r="66">
          <cell r="B66">
            <v>45722</v>
          </cell>
          <cell r="D66">
            <v>0</v>
          </cell>
          <cell r="E66">
            <v>41961</v>
          </cell>
        </row>
        <row r="67">
          <cell r="B67">
            <v>45972</v>
          </cell>
          <cell r="D67">
            <v>35962</v>
          </cell>
          <cell r="E67">
            <v>0</v>
          </cell>
        </row>
        <row r="68">
          <cell r="B68">
            <v>45915</v>
          </cell>
          <cell r="D68">
            <v>0</v>
          </cell>
          <cell r="E68">
            <v>43007</v>
          </cell>
        </row>
        <row r="69">
          <cell r="B69">
            <v>45961</v>
          </cell>
          <cell r="D69">
            <v>0</v>
          </cell>
          <cell r="E69">
            <v>39053</v>
          </cell>
        </row>
        <row r="70">
          <cell r="B70">
            <v>45745</v>
          </cell>
          <cell r="D70">
            <v>0</v>
          </cell>
          <cell r="E70">
            <v>44170</v>
          </cell>
        </row>
        <row r="71">
          <cell r="B71">
            <v>45946</v>
          </cell>
          <cell r="D71">
            <v>3699</v>
          </cell>
          <cell r="E71">
            <v>0</v>
          </cell>
        </row>
        <row r="72">
          <cell r="B72">
            <v>45699</v>
          </cell>
          <cell r="D72">
            <v>0</v>
          </cell>
          <cell r="E72">
            <v>3979</v>
          </cell>
        </row>
        <row r="73">
          <cell r="B73">
            <v>45991</v>
          </cell>
          <cell r="D73">
            <v>0</v>
          </cell>
          <cell r="E73">
            <v>14815</v>
          </cell>
        </row>
        <row r="74">
          <cell r="B74">
            <v>45974</v>
          </cell>
          <cell r="D74">
            <v>42876</v>
          </cell>
          <cell r="E74">
            <v>0</v>
          </cell>
        </row>
        <row r="75">
          <cell r="B75">
            <v>45912</v>
          </cell>
          <cell r="D75">
            <v>0</v>
          </cell>
          <cell r="E75">
            <v>42101</v>
          </cell>
        </row>
        <row r="76">
          <cell r="B76">
            <v>45986</v>
          </cell>
          <cell r="D76">
            <v>0</v>
          </cell>
          <cell r="E76">
            <v>20798</v>
          </cell>
        </row>
        <row r="77">
          <cell r="B77">
            <v>45783</v>
          </cell>
          <cell r="D77">
            <v>0</v>
          </cell>
          <cell r="E77">
            <v>45891</v>
          </cell>
        </row>
        <row r="78">
          <cell r="B78">
            <v>45810</v>
          </cell>
          <cell r="D78">
            <v>30723</v>
          </cell>
          <cell r="E78">
            <v>0</v>
          </cell>
        </row>
        <row r="79">
          <cell r="B79">
            <v>46010</v>
          </cell>
          <cell r="D79">
            <v>0</v>
          </cell>
          <cell r="E79">
            <v>4926</v>
          </cell>
        </row>
        <row r="80">
          <cell r="B80">
            <v>45883</v>
          </cell>
          <cell r="D80">
            <v>0</v>
          </cell>
          <cell r="E80">
            <v>28238</v>
          </cell>
        </row>
        <row r="81">
          <cell r="B81">
            <v>45895</v>
          </cell>
          <cell r="D81">
            <v>0</v>
          </cell>
          <cell r="E81">
            <v>14370</v>
          </cell>
        </row>
        <row r="82">
          <cell r="B82">
            <v>45968</v>
          </cell>
          <cell r="D82">
            <v>0</v>
          </cell>
          <cell r="E82">
            <v>10415</v>
          </cell>
        </row>
        <row r="83">
          <cell r="B83">
            <v>45821</v>
          </cell>
          <cell r="D83">
            <v>0</v>
          </cell>
          <cell r="E83">
            <v>49116</v>
          </cell>
        </row>
        <row r="84">
          <cell r="B84">
            <v>45862</v>
          </cell>
          <cell r="D84">
            <v>0</v>
          </cell>
          <cell r="E84">
            <v>9569</v>
          </cell>
        </row>
        <row r="85">
          <cell r="B85">
            <v>45921</v>
          </cell>
          <cell r="D85">
            <v>37808</v>
          </cell>
          <cell r="E85">
            <v>0</v>
          </cell>
        </row>
        <row r="86">
          <cell r="B86">
            <v>45821</v>
          </cell>
          <cell r="D86">
            <v>0</v>
          </cell>
          <cell r="E86">
            <v>16842</v>
          </cell>
        </row>
        <row r="87">
          <cell r="B87">
            <v>45720</v>
          </cell>
          <cell r="D87">
            <v>0</v>
          </cell>
          <cell r="E87">
            <v>18529</v>
          </cell>
        </row>
        <row r="88">
          <cell r="B88">
            <v>45784</v>
          </cell>
          <cell r="D88">
            <v>10232</v>
          </cell>
          <cell r="E88">
            <v>0</v>
          </cell>
        </row>
        <row r="89">
          <cell r="B89">
            <v>45683</v>
          </cell>
          <cell r="D89">
            <v>0</v>
          </cell>
          <cell r="E89">
            <v>20019</v>
          </cell>
        </row>
        <row r="90">
          <cell r="B90">
            <v>45973</v>
          </cell>
          <cell r="D90">
            <v>0</v>
          </cell>
          <cell r="E90">
            <v>28402</v>
          </cell>
        </row>
        <row r="91">
          <cell r="B91">
            <v>45739</v>
          </cell>
          <cell r="D91">
            <v>0</v>
          </cell>
          <cell r="E91">
            <v>22458</v>
          </cell>
        </row>
        <row r="92">
          <cell r="B92">
            <v>45755</v>
          </cell>
          <cell r="D92">
            <v>0</v>
          </cell>
          <cell r="E92">
            <v>11442</v>
          </cell>
        </row>
        <row r="93">
          <cell r="B93">
            <v>45921</v>
          </cell>
          <cell r="D93">
            <v>0</v>
          </cell>
          <cell r="E93">
            <v>31593</v>
          </cell>
        </row>
        <row r="94">
          <cell r="B94">
            <v>45815</v>
          </cell>
          <cell r="D94">
            <v>33595</v>
          </cell>
          <cell r="E94">
            <v>0</v>
          </cell>
        </row>
        <row r="95">
          <cell r="B95">
            <v>45704</v>
          </cell>
          <cell r="D95">
            <v>0</v>
          </cell>
          <cell r="E95">
            <v>26771</v>
          </cell>
        </row>
        <row r="96">
          <cell r="B96">
            <v>45781</v>
          </cell>
          <cell r="D96">
            <v>0</v>
          </cell>
          <cell r="E96">
            <v>15099</v>
          </cell>
        </row>
        <row r="97">
          <cell r="B97">
            <v>45682</v>
          </cell>
          <cell r="D97">
            <v>0</v>
          </cell>
          <cell r="E97">
            <v>4312</v>
          </cell>
        </row>
        <row r="98">
          <cell r="B98">
            <v>45911</v>
          </cell>
          <cell r="D98">
            <v>0</v>
          </cell>
          <cell r="E98">
            <v>40158</v>
          </cell>
        </row>
        <row r="99">
          <cell r="B99">
            <v>45804</v>
          </cell>
          <cell r="D99">
            <v>36172</v>
          </cell>
          <cell r="E99">
            <v>0</v>
          </cell>
        </row>
        <row r="100">
          <cell r="B100">
            <v>45713</v>
          </cell>
          <cell r="D100">
            <v>0</v>
          </cell>
          <cell r="E100">
            <v>29241</v>
          </cell>
        </row>
        <row r="101">
          <cell r="B101">
            <v>45793</v>
          </cell>
          <cell r="D101">
            <v>0</v>
          </cell>
          <cell r="E101">
            <v>48677</v>
          </cell>
        </row>
        <row r="102">
          <cell r="B102">
            <v>45864</v>
          </cell>
          <cell r="D102">
            <v>24982</v>
          </cell>
          <cell r="E102">
            <v>0</v>
          </cell>
        </row>
        <row r="103">
          <cell r="B103">
            <v>45863</v>
          </cell>
          <cell r="D103">
            <v>0</v>
          </cell>
          <cell r="E103">
            <v>4352</v>
          </cell>
        </row>
        <row r="104">
          <cell r="B104">
            <v>45843</v>
          </cell>
          <cell r="D104">
            <v>0</v>
          </cell>
          <cell r="E104">
            <v>37256</v>
          </cell>
        </row>
        <row r="105">
          <cell r="B105">
            <v>45695</v>
          </cell>
          <cell r="D105">
            <v>0</v>
          </cell>
          <cell r="E105">
            <v>26319</v>
          </cell>
        </row>
        <row r="106">
          <cell r="B106">
            <v>45939</v>
          </cell>
          <cell r="D106">
            <v>19331</v>
          </cell>
          <cell r="E106">
            <v>0</v>
          </cell>
        </row>
        <row r="107">
          <cell r="B107">
            <v>45723</v>
          </cell>
          <cell r="D107">
            <v>0</v>
          </cell>
          <cell r="E107">
            <v>7336</v>
          </cell>
        </row>
        <row r="108">
          <cell r="B108">
            <v>45849</v>
          </cell>
          <cell r="D108">
            <v>0</v>
          </cell>
          <cell r="E108">
            <v>23222</v>
          </cell>
        </row>
        <row r="109">
          <cell r="B109">
            <v>45731</v>
          </cell>
          <cell r="D109">
            <v>0</v>
          </cell>
          <cell r="E109">
            <v>14045</v>
          </cell>
        </row>
        <row r="110">
          <cell r="B110">
            <v>45914</v>
          </cell>
          <cell r="D110">
            <v>3638</v>
          </cell>
          <cell r="E110">
            <v>0</v>
          </cell>
        </row>
        <row r="111">
          <cell r="B111">
            <v>45677</v>
          </cell>
          <cell r="D111">
            <v>0</v>
          </cell>
          <cell r="E111">
            <v>9980</v>
          </cell>
        </row>
        <row r="112">
          <cell r="B112">
            <v>45900</v>
          </cell>
          <cell r="D112">
            <v>0</v>
          </cell>
          <cell r="E112">
            <v>35034</v>
          </cell>
        </row>
        <row r="113">
          <cell r="B113">
            <v>45734</v>
          </cell>
          <cell r="D113">
            <v>0</v>
          </cell>
          <cell r="E113">
            <v>40731</v>
          </cell>
        </row>
        <row r="114">
          <cell r="B114">
            <v>45825</v>
          </cell>
          <cell r="D114">
            <v>0</v>
          </cell>
          <cell r="E114">
            <v>41178</v>
          </cell>
        </row>
        <row r="115">
          <cell r="B115">
            <v>45741</v>
          </cell>
          <cell r="D115">
            <v>0</v>
          </cell>
          <cell r="E115">
            <v>26752</v>
          </cell>
        </row>
        <row r="116">
          <cell r="B116">
            <v>45961</v>
          </cell>
          <cell r="D116">
            <v>0</v>
          </cell>
          <cell r="E116">
            <v>23044</v>
          </cell>
        </row>
        <row r="117">
          <cell r="B117">
            <v>46020</v>
          </cell>
          <cell r="D117">
            <v>0</v>
          </cell>
          <cell r="E117">
            <v>37891</v>
          </cell>
        </row>
        <row r="118">
          <cell r="B118">
            <v>45901</v>
          </cell>
          <cell r="D118">
            <v>0</v>
          </cell>
          <cell r="E118">
            <v>2090</v>
          </cell>
        </row>
        <row r="119">
          <cell r="B119">
            <v>45827</v>
          </cell>
          <cell r="D119">
            <v>45158</v>
          </cell>
          <cell r="E119">
            <v>0</v>
          </cell>
        </row>
        <row r="120">
          <cell r="B120">
            <v>45871</v>
          </cell>
          <cell r="D120">
            <v>0</v>
          </cell>
          <cell r="E120">
            <v>39253</v>
          </cell>
        </row>
        <row r="121">
          <cell r="B121">
            <v>46010</v>
          </cell>
          <cell r="D121">
            <v>42239</v>
          </cell>
          <cell r="E121">
            <v>0</v>
          </cell>
        </row>
      </sheetData>
      <sheetData sheetId="3">
        <row r="9">
          <cell r="B9">
            <v>-1477993</v>
          </cell>
        </row>
      </sheetData>
      <sheetData sheetId="4" refreshError="1"/>
      <sheetData sheetId="5" refreshError="1"/>
      <sheetData sheetId="6">
        <row r="9">
          <cell r="C9" t="str">
            <v>Sum of Debit</v>
          </cell>
          <cell r="D9" t="str">
            <v>Sum of Credit</v>
          </cell>
        </row>
        <row r="10">
          <cell r="B10" t="str">
            <v>Customer Receipt</v>
          </cell>
          <cell r="C10">
            <v>668164</v>
          </cell>
          <cell r="D10">
            <v>0</v>
          </cell>
        </row>
        <row r="11">
          <cell r="B11" t="str">
            <v>Bank Fee</v>
          </cell>
          <cell r="C11">
            <v>0</v>
          </cell>
          <cell r="D11">
            <v>1024105</v>
          </cell>
        </row>
        <row r="12">
          <cell r="B12" t="str">
            <v>Salary Payment</v>
          </cell>
          <cell r="C12">
            <v>0</v>
          </cell>
          <cell r="D12">
            <v>978476</v>
          </cell>
        </row>
        <row r="13">
          <cell r="B13" t="str">
            <v>Supplier Payment</v>
          </cell>
          <cell r="C13">
            <v>0</v>
          </cell>
          <cell r="D13">
            <v>643576</v>
          </cell>
        </row>
      </sheetData>
      <sheetData sheetId="7">
        <row r="2">
          <cell r="A2" t="str">
            <v>INV0001</v>
          </cell>
        </row>
      </sheetData>
      <sheetData sheetId="8">
        <row r="2">
          <cell r="B2">
            <v>45696</v>
          </cell>
        </row>
      </sheetData>
      <sheetData sheetId="9">
        <row r="9">
          <cell r="B9">
            <v>479350</v>
          </cell>
        </row>
      </sheetData>
      <sheetData sheetId="10" refreshError="1"/>
      <sheetData sheetId="11">
        <row r="9">
          <cell r="C9" t="str">
            <v>Sum of Sales_Amount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>
        <row r="2">
          <cell r="A2" t="str">
            <v>INV0001</v>
          </cell>
        </row>
      </sheetData>
      <sheetData sheetId="78" refreshError="1"/>
      <sheetData sheetId="79" refreshError="1"/>
      <sheetData sheetId="80" refreshError="1"/>
      <sheetData sheetId="81">
        <row r="2">
          <cell r="A2" t="str">
            <v>BNK0001</v>
          </cell>
          <cell r="B2">
            <v>45808</v>
          </cell>
          <cell r="C2" t="str">
            <v>Customer Receipt</v>
          </cell>
          <cell r="D2">
            <v>14211</v>
          </cell>
          <cell r="E2">
            <v>0</v>
          </cell>
          <cell r="F2">
            <v>514211</v>
          </cell>
        </row>
        <row r="3">
          <cell r="A3" t="str">
            <v>BNK0002</v>
          </cell>
          <cell r="B3">
            <v>45760</v>
          </cell>
          <cell r="C3" t="str">
            <v>Bank Fee</v>
          </cell>
          <cell r="D3">
            <v>0</v>
          </cell>
          <cell r="E3">
            <v>3746</v>
          </cell>
          <cell r="F3">
            <v>510465</v>
          </cell>
        </row>
        <row r="4">
          <cell r="A4" t="str">
            <v>BNK0003</v>
          </cell>
          <cell r="B4">
            <v>45816</v>
          </cell>
          <cell r="C4" t="str">
            <v>Salary Payment</v>
          </cell>
          <cell r="D4">
            <v>0</v>
          </cell>
          <cell r="E4">
            <v>34776</v>
          </cell>
          <cell r="F4">
            <v>475689</v>
          </cell>
        </row>
        <row r="5">
          <cell r="A5" t="str">
            <v>BNK0004</v>
          </cell>
          <cell r="B5">
            <v>45936</v>
          </cell>
          <cell r="C5" t="str">
            <v>Bank Fee</v>
          </cell>
          <cell r="D5">
            <v>0</v>
          </cell>
          <cell r="E5">
            <v>32024</v>
          </cell>
          <cell r="F5">
            <v>443665</v>
          </cell>
        </row>
        <row r="6">
          <cell r="A6" t="str">
            <v>BNK0005</v>
          </cell>
          <cell r="B6">
            <v>45676</v>
          </cell>
          <cell r="C6" t="str">
            <v>Supplier Payment</v>
          </cell>
          <cell r="D6">
            <v>0</v>
          </cell>
          <cell r="E6">
            <v>43395</v>
          </cell>
          <cell r="F6">
            <v>400270</v>
          </cell>
        </row>
        <row r="7">
          <cell r="A7" t="str">
            <v>BNK0006</v>
          </cell>
          <cell r="B7">
            <v>45804</v>
          </cell>
          <cell r="C7" t="str">
            <v>Customer Receipt</v>
          </cell>
          <cell r="D7">
            <v>24394</v>
          </cell>
          <cell r="E7">
            <v>0</v>
          </cell>
          <cell r="F7">
            <v>424664</v>
          </cell>
        </row>
        <row r="8">
          <cell r="A8" t="str">
            <v>BNK0007</v>
          </cell>
          <cell r="B8">
            <v>45993</v>
          </cell>
          <cell r="C8" t="str">
            <v>Bank Fee</v>
          </cell>
          <cell r="D8">
            <v>0</v>
          </cell>
          <cell r="E8">
            <v>22753</v>
          </cell>
          <cell r="F8">
            <v>401911</v>
          </cell>
        </row>
        <row r="9">
          <cell r="A9" t="str">
            <v>BNK0008</v>
          </cell>
          <cell r="B9">
            <v>45721</v>
          </cell>
          <cell r="C9" t="str">
            <v>Salary Payment</v>
          </cell>
          <cell r="D9">
            <v>0</v>
          </cell>
          <cell r="E9">
            <v>25118</v>
          </cell>
          <cell r="F9">
            <v>376793</v>
          </cell>
        </row>
        <row r="10">
          <cell r="A10" t="str">
            <v>BNK0009</v>
          </cell>
          <cell r="B10">
            <v>45862</v>
          </cell>
          <cell r="C10" t="str">
            <v>Salary Payment</v>
          </cell>
          <cell r="D10">
            <v>0</v>
          </cell>
          <cell r="E10">
            <v>49713</v>
          </cell>
          <cell r="F10">
            <v>327080</v>
          </cell>
        </row>
        <row r="11">
          <cell r="A11" t="str">
            <v>BNK0010</v>
          </cell>
          <cell r="B11">
            <v>45855</v>
          </cell>
          <cell r="C11" t="str">
            <v>Supplier Payment</v>
          </cell>
          <cell r="D11">
            <v>0</v>
          </cell>
          <cell r="E11">
            <v>23219</v>
          </cell>
          <cell r="F11">
            <v>303861</v>
          </cell>
        </row>
        <row r="12">
          <cell r="A12" t="str">
            <v>BNK0011</v>
          </cell>
          <cell r="B12">
            <v>45912</v>
          </cell>
          <cell r="C12" t="str">
            <v>Salary Payment</v>
          </cell>
          <cell r="D12">
            <v>0</v>
          </cell>
          <cell r="E12">
            <v>46355</v>
          </cell>
          <cell r="F12">
            <v>257506</v>
          </cell>
        </row>
        <row r="13">
          <cell r="A13" t="str">
            <v>BNK0012</v>
          </cell>
          <cell r="B13">
            <v>45846</v>
          </cell>
          <cell r="C13" t="str">
            <v>Bank Fee</v>
          </cell>
          <cell r="D13">
            <v>0</v>
          </cell>
          <cell r="E13">
            <v>35031</v>
          </cell>
          <cell r="F13">
            <v>222475</v>
          </cell>
        </row>
        <row r="14">
          <cell r="A14" t="str">
            <v>BNK0013</v>
          </cell>
          <cell r="B14">
            <v>45700</v>
          </cell>
          <cell r="C14" t="str">
            <v>Salary Payment</v>
          </cell>
          <cell r="D14">
            <v>0</v>
          </cell>
          <cell r="E14">
            <v>48650</v>
          </cell>
          <cell r="F14">
            <v>173825</v>
          </cell>
        </row>
        <row r="15">
          <cell r="A15" t="str">
            <v>BNK0014</v>
          </cell>
          <cell r="B15">
            <v>45698</v>
          </cell>
          <cell r="C15" t="str">
            <v>Supplier Payment</v>
          </cell>
          <cell r="D15">
            <v>0</v>
          </cell>
          <cell r="E15">
            <v>29220</v>
          </cell>
          <cell r="F15">
            <v>144605</v>
          </cell>
        </row>
        <row r="16">
          <cell r="A16" t="str">
            <v>BNK0015</v>
          </cell>
          <cell r="B16">
            <v>45937</v>
          </cell>
          <cell r="C16" t="str">
            <v>Bank Fee</v>
          </cell>
          <cell r="D16">
            <v>0</v>
          </cell>
          <cell r="E16">
            <v>20252</v>
          </cell>
          <cell r="F16">
            <v>124353</v>
          </cell>
        </row>
        <row r="17">
          <cell r="A17" t="str">
            <v>BNK0016</v>
          </cell>
          <cell r="B17">
            <v>45710</v>
          </cell>
          <cell r="C17" t="str">
            <v>Bank Fee</v>
          </cell>
          <cell r="D17">
            <v>0</v>
          </cell>
          <cell r="E17">
            <v>6247</v>
          </cell>
          <cell r="F17">
            <v>118106</v>
          </cell>
        </row>
        <row r="18">
          <cell r="A18" t="str">
            <v>BNK0017</v>
          </cell>
          <cell r="B18">
            <v>45996</v>
          </cell>
          <cell r="C18" t="str">
            <v>Bank Fee</v>
          </cell>
          <cell r="D18">
            <v>0</v>
          </cell>
          <cell r="E18">
            <v>20375</v>
          </cell>
          <cell r="F18">
            <v>97731</v>
          </cell>
        </row>
        <row r="19">
          <cell r="A19" t="str">
            <v>BNK0018</v>
          </cell>
          <cell r="B19">
            <v>45886</v>
          </cell>
          <cell r="C19" t="str">
            <v>Salary Payment</v>
          </cell>
          <cell r="D19">
            <v>0</v>
          </cell>
          <cell r="E19">
            <v>40493</v>
          </cell>
          <cell r="F19">
            <v>57238</v>
          </cell>
        </row>
        <row r="20">
          <cell r="A20" t="str">
            <v>BNK0019</v>
          </cell>
          <cell r="B20">
            <v>45743</v>
          </cell>
          <cell r="C20" t="str">
            <v>Salary Payment</v>
          </cell>
          <cell r="D20">
            <v>0</v>
          </cell>
          <cell r="E20">
            <v>46204</v>
          </cell>
          <cell r="F20">
            <v>11034</v>
          </cell>
        </row>
        <row r="21">
          <cell r="A21" t="str">
            <v>BNK0020</v>
          </cell>
          <cell r="B21">
            <v>45837</v>
          </cell>
          <cell r="C21" t="str">
            <v>Customer Receipt</v>
          </cell>
          <cell r="D21">
            <v>30303</v>
          </cell>
          <cell r="E21">
            <v>0</v>
          </cell>
          <cell r="F21">
            <v>41337</v>
          </cell>
        </row>
        <row r="22">
          <cell r="A22" t="str">
            <v>BNK0021</v>
          </cell>
          <cell r="B22">
            <v>45838</v>
          </cell>
          <cell r="C22" t="str">
            <v>Salary Payment</v>
          </cell>
          <cell r="D22">
            <v>0</v>
          </cell>
          <cell r="E22">
            <v>41294</v>
          </cell>
          <cell r="F22">
            <v>43</v>
          </cell>
        </row>
        <row r="23">
          <cell r="A23" t="str">
            <v>BNK0022</v>
          </cell>
          <cell r="B23">
            <v>45798</v>
          </cell>
          <cell r="C23" t="str">
            <v>Customer Receipt</v>
          </cell>
          <cell r="D23">
            <v>42908</v>
          </cell>
          <cell r="E23">
            <v>0</v>
          </cell>
          <cell r="F23">
            <v>42951</v>
          </cell>
        </row>
        <row r="24">
          <cell r="A24" t="str">
            <v>BNK0023</v>
          </cell>
          <cell r="B24">
            <v>45696</v>
          </cell>
          <cell r="C24" t="str">
            <v>Salary Payment</v>
          </cell>
          <cell r="D24">
            <v>0</v>
          </cell>
          <cell r="E24">
            <v>44986</v>
          </cell>
          <cell r="F24">
            <v>-2035</v>
          </cell>
        </row>
        <row r="25">
          <cell r="A25" t="str">
            <v>BNK0024</v>
          </cell>
          <cell r="B25">
            <v>45844</v>
          </cell>
          <cell r="C25" t="str">
            <v>Supplier Payment</v>
          </cell>
          <cell r="D25">
            <v>0</v>
          </cell>
          <cell r="E25">
            <v>34625</v>
          </cell>
          <cell r="F25">
            <v>-36660</v>
          </cell>
        </row>
        <row r="26">
          <cell r="A26" t="str">
            <v>BNK0025</v>
          </cell>
          <cell r="B26">
            <v>45673</v>
          </cell>
          <cell r="C26" t="str">
            <v>Salary Payment</v>
          </cell>
          <cell r="D26">
            <v>0</v>
          </cell>
          <cell r="E26">
            <v>10357</v>
          </cell>
          <cell r="F26">
            <v>-47017</v>
          </cell>
        </row>
        <row r="27">
          <cell r="A27" t="str">
            <v>BNK0026</v>
          </cell>
          <cell r="B27">
            <v>45675</v>
          </cell>
          <cell r="C27" t="str">
            <v>Customer Receipt</v>
          </cell>
          <cell r="D27">
            <v>9272</v>
          </cell>
          <cell r="E27">
            <v>0</v>
          </cell>
          <cell r="F27">
            <v>-37745</v>
          </cell>
        </row>
        <row r="28">
          <cell r="A28" t="str">
            <v>BNK0027</v>
          </cell>
          <cell r="B28">
            <v>45778</v>
          </cell>
          <cell r="C28" t="str">
            <v>Bank Fee</v>
          </cell>
          <cell r="D28">
            <v>0</v>
          </cell>
          <cell r="E28">
            <v>43281</v>
          </cell>
          <cell r="F28">
            <v>-81026</v>
          </cell>
        </row>
        <row r="29">
          <cell r="A29" t="str">
            <v>BNK0028</v>
          </cell>
          <cell r="B29">
            <v>45843</v>
          </cell>
          <cell r="C29" t="str">
            <v>Customer Receipt</v>
          </cell>
          <cell r="D29">
            <v>26090</v>
          </cell>
          <cell r="E29">
            <v>0</v>
          </cell>
          <cell r="F29">
            <v>-54936</v>
          </cell>
        </row>
        <row r="30">
          <cell r="A30" t="str">
            <v>BNK0029</v>
          </cell>
          <cell r="B30">
            <v>45967</v>
          </cell>
          <cell r="C30" t="str">
            <v>Salary Payment</v>
          </cell>
          <cell r="D30">
            <v>0</v>
          </cell>
          <cell r="E30">
            <v>11055</v>
          </cell>
          <cell r="F30">
            <v>-65991</v>
          </cell>
        </row>
        <row r="31">
          <cell r="A31" t="str">
            <v>BNK0030</v>
          </cell>
          <cell r="B31">
            <v>45847</v>
          </cell>
          <cell r="C31" t="str">
            <v>Salary Payment</v>
          </cell>
          <cell r="D31">
            <v>0</v>
          </cell>
          <cell r="E31">
            <v>25380</v>
          </cell>
          <cell r="F31">
            <v>-91371</v>
          </cell>
        </row>
        <row r="32">
          <cell r="A32" t="str">
            <v>BNK0031</v>
          </cell>
          <cell r="B32">
            <v>45697</v>
          </cell>
          <cell r="C32" t="str">
            <v>Supplier Payment</v>
          </cell>
          <cell r="D32">
            <v>0</v>
          </cell>
          <cell r="E32">
            <v>38612</v>
          </cell>
          <cell r="F32">
            <v>-129983</v>
          </cell>
        </row>
        <row r="33">
          <cell r="A33" t="str">
            <v>BNK0032</v>
          </cell>
          <cell r="B33">
            <v>45929</v>
          </cell>
          <cell r="C33" t="str">
            <v>Salary Payment</v>
          </cell>
          <cell r="D33">
            <v>0</v>
          </cell>
          <cell r="E33">
            <v>25048</v>
          </cell>
          <cell r="F33">
            <v>-155031</v>
          </cell>
        </row>
        <row r="34">
          <cell r="A34" t="str">
            <v>BNK0033</v>
          </cell>
          <cell r="B34">
            <v>45818</v>
          </cell>
          <cell r="C34" t="str">
            <v>Bank Fee</v>
          </cell>
          <cell r="D34">
            <v>0</v>
          </cell>
          <cell r="E34">
            <v>43569</v>
          </cell>
          <cell r="F34">
            <v>-198600</v>
          </cell>
        </row>
        <row r="35">
          <cell r="A35" t="str">
            <v>BNK0034</v>
          </cell>
          <cell r="B35">
            <v>45785</v>
          </cell>
          <cell r="C35" t="str">
            <v>Customer Receipt</v>
          </cell>
          <cell r="D35">
            <v>8434</v>
          </cell>
          <cell r="E35">
            <v>0</v>
          </cell>
          <cell r="F35">
            <v>-190166</v>
          </cell>
        </row>
        <row r="36">
          <cell r="A36" t="str">
            <v>BNK0035</v>
          </cell>
          <cell r="B36">
            <v>45753</v>
          </cell>
          <cell r="C36" t="str">
            <v>Salary Payment</v>
          </cell>
          <cell r="D36">
            <v>0</v>
          </cell>
          <cell r="E36">
            <v>33705</v>
          </cell>
          <cell r="F36">
            <v>-223871</v>
          </cell>
        </row>
        <row r="37">
          <cell r="A37" t="str">
            <v>BNK0036</v>
          </cell>
          <cell r="B37">
            <v>45945</v>
          </cell>
          <cell r="C37" t="str">
            <v>Bank Fee</v>
          </cell>
          <cell r="D37">
            <v>0</v>
          </cell>
          <cell r="E37">
            <v>8717</v>
          </cell>
          <cell r="F37">
            <v>-232588</v>
          </cell>
        </row>
        <row r="38">
          <cell r="A38" t="str">
            <v>BNK0037</v>
          </cell>
          <cell r="B38">
            <v>45791</v>
          </cell>
          <cell r="C38" t="str">
            <v>Salary Payment</v>
          </cell>
          <cell r="D38">
            <v>0</v>
          </cell>
          <cell r="E38">
            <v>47139</v>
          </cell>
          <cell r="F38">
            <v>-279727</v>
          </cell>
        </row>
        <row r="39">
          <cell r="A39" t="str">
            <v>BNK0038</v>
          </cell>
          <cell r="B39">
            <v>45767</v>
          </cell>
          <cell r="C39" t="str">
            <v>Bank Fee</v>
          </cell>
          <cell r="D39">
            <v>0</v>
          </cell>
          <cell r="E39">
            <v>41099</v>
          </cell>
          <cell r="F39">
            <v>-320826</v>
          </cell>
        </row>
        <row r="40">
          <cell r="A40" t="str">
            <v>BNK0039</v>
          </cell>
          <cell r="B40">
            <v>46013</v>
          </cell>
          <cell r="C40" t="str">
            <v>Supplier Payment</v>
          </cell>
          <cell r="D40">
            <v>0</v>
          </cell>
          <cell r="E40">
            <v>33191</v>
          </cell>
          <cell r="F40">
            <v>-354017</v>
          </cell>
        </row>
        <row r="41">
          <cell r="A41" t="str">
            <v>BNK0040</v>
          </cell>
          <cell r="B41">
            <v>45720</v>
          </cell>
          <cell r="C41" t="str">
            <v>Customer Receipt</v>
          </cell>
          <cell r="D41">
            <v>9895</v>
          </cell>
          <cell r="E41">
            <v>0</v>
          </cell>
          <cell r="F41">
            <v>-344122</v>
          </cell>
        </row>
        <row r="42">
          <cell r="A42" t="str">
            <v>BNK0041</v>
          </cell>
          <cell r="B42">
            <v>45889</v>
          </cell>
          <cell r="C42" t="str">
            <v>Salary Payment</v>
          </cell>
          <cell r="D42">
            <v>0</v>
          </cell>
          <cell r="E42">
            <v>12315</v>
          </cell>
          <cell r="F42">
            <v>-356437</v>
          </cell>
        </row>
        <row r="43">
          <cell r="A43" t="str">
            <v>BNK0042</v>
          </cell>
          <cell r="B43">
            <v>45702</v>
          </cell>
          <cell r="C43" t="str">
            <v>Bank Fee</v>
          </cell>
          <cell r="D43">
            <v>0</v>
          </cell>
          <cell r="E43">
            <v>45690</v>
          </cell>
          <cell r="F43">
            <v>-402127</v>
          </cell>
        </row>
        <row r="44">
          <cell r="A44" t="str">
            <v>BNK0043</v>
          </cell>
          <cell r="B44">
            <v>45999</v>
          </cell>
          <cell r="C44" t="str">
            <v>Customer Receipt</v>
          </cell>
          <cell r="D44">
            <v>23768</v>
          </cell>
          <cell r="E44">
            <v>0</v>
          </cell>
          <cell r="F44">
            <v>-378359</v>
          </cell>
        </row>
        <row r="45">
          <cell r="A45" t="str">
            <v>BNK0044</v>
          </cell>
          <cell r="B45">
            <v>45939</v>
          </cell>
          <cell r="C45" t="str">
            <v>Bank Fee</v>
          </cell>
          <cell r="D45">
            <v>0</v>
          </cell>
          <cell r="E45">
            <v>36531</v>
          </cell>
          <cell r="F45">
            <v>-414890</v>
          </cell>
        </row>
        <row r="46">
          <cell r="A46" t="str">
            <v>BNK0045</v>
          </cell>
          <cell r="B46">
            <v>45811</v>
          </cell>
          <cell r="C46" t="str">
            <v>Supplier Payment</v>
          </cell>
          <cell r="D46">
            <v>0</v>
          </cell>
          <cell r="E46">
            <v>11322</v>
          </cell>
          <cell r="F46">
            <v>-426212</v>
          </cell>
        </row>
        <row r="47">
          <cell r="A47" t="str">
            <v>BNK0046</v>
          </cell>
          <cell r="B47">
            <v>45843</v>
          </cell>
          <cell r="C47" t="str">
            <v>Supplier Payment</v>
          </cell>
          <cell r="D47">
            <v>0</v>
          </cell>
          <cell r="E47">
            <v>34341</v>
          </cell>
          <cell r="F47">
            <v>-460553</v>
          </cell>
        </row>
        <row r="48">
          <cell r="A48" t="str">
            <v>BNK0047</v>
          </cell>
          <cell r="B48">
            <v>45720</v>
          </cell>
          <cell r="C48" t="str">
            <v>Supplier Payment</v>
          </cell>
          <cell r="D48">
            <v>0</v>
          </cell>
          <cell r="E48">
            <v>14171</v>
          </cell>
          <cell r="F48">
            <v>-474724</v>
          </cell>
        </row>
        <row r="49">
          <cell r="A49" t="str">
            <v>BNK0048</v>
          </cell>
          <cell r="B49">
            <v>45779</v>
          </cell>
          <cell r="C49" t="str">
            <v>Customer Receipt</v>
          </cell>
          <cell r="D49">
            <v>33376</v>
          </cell>
          <cell r="E49">
            <v>0</v>
          </cell>
          <cell r="F49">
            <v>-441348</v>
          </cell>
        </row>
        <row r="50">
          <cell r="A50" t="str">
            <v>BNK0049</v>
          </cell>
          <cell r="B50">
            <v>45842</v>
          </cell>
          <cell r="C50" t="str">
            <v>Bank Fee</v>
          </cell>
          <cell r="D50">
            <v>0</v>
          </cell>
          <cell r="E50">
            <v>37308</v>
          </cell>
          <cell r="F50">
            <v>-478656</v>
          </cell>
        </row>
        <row r="51">
          <cell r="A51" t="str">
            <v>BNK0050</v>
          </cell>
          <cell r="B51">
            <v>45897</v>
          </cell>
          <cell r="C51" t="str">
            <v>Supplier Payment</v>
          </cell>
          <cell r="D51">
            <v>0</v>
          </cell>
          <cell r="E51">
            <v>37152</v>
          </cell>
          <cell r="F51">
            <v>-515808</v>
          </cell>
        </row>
        <row r="52">
          <cell r="A52" t="str">
            <v>BNK0051</v>
          </cell>
          <cell r="B52">
            <v>45971</v>
          </cell>
          <cell r="C52" t="str">
            <v>Customer Receipt</v>
          </cell>
          <cell r="D52">
            <v>6650</v>
          </cell>
          <cell r="E52">
            <v>0</v>
          </cell>
          <cell r="F52">
            <v>-509158</v>
          </cell>
        </row>
        <row r="53">
          <cell r="A53" t="str">
            <v>BNK0052</v>
          </cell>
          <cell r="B53">
            <v>45816</v>
          </cell>
          <cell r="C53" t="str">
            <v>Salary Payment</v>
          </cell>
          <cell r="D53">
            <v>0</v>
          </cell>
          <cell r="E53">
            <v>27093</v>
          </cell>
          <cell r="F53">
            <v>-536251</v>
          </cell>
        </row>
        <row r="54">
          <cell r="A54" t="str">
            <v>BNK0053</v>
          </cell>
          <cell r="B54">
            <v>45927</v>
          </cell>
          <cell r="C54" t="str">
            <v>Salary Payment</v>
          </cell>
          <cell r="D54">
            <v>0</v>
          </cell>
          <cell r="E54">
            <v>27921</v>
          </cell>
          <cell r="F54">
            <v>-564172</v>
          </cell>
        </row>
        <row r="55">
          <cell r="A55" t="str">
            <v>BNK0054</v>
          </cell>
          <cell r="B55">
            <v>45952</v>
          </cell>
          <cell r="C55" t="str">
            <v>Supplier Payment</v>
          </cell>
          <cell r="D55">
            <v>0</v>
          </cell>
          <cell r="E55">
            <v>5833</v>
          </cell>
          <cell r="F55">
            <v>-570005</v>
          </cell>
        </row>
        <row r="56">
          <cell r="A56" t="str">
            <v>BNK0055</v>
          </cell>
          <cell r="B56">
            <v>45820</v>
          </cell>
          <cell r="C56" t="str">
            <v>Customer Receipt</v>
          </cell>
          <cell r="D56">
            <v>43096</v>
          </cell>
          <cell r="E56">
            <v>0</v>
          </cell>
          <cell r="F56">
            <v>-526909</v>
          </cell>
        </row>
        <row r="57">
          <cell r="A57" t="str">
            <v>BNK0056</v>
          </cell>
          <cell r="B57">
            <v>45888</v>
          </cell>
          <cell r="C57" t="str">
            <v>Bank Fee</v>
          </cell>
          <cell r="D57">
            <v>0</v>
          </cell>
          <cell r="E57">
            <v>31528</v>
          </cell>
          <cell r="F57">
            <v>-558437</v>
          </cell>
        </row>
        <row r="58">
          <cell r="A58" t="str">
            <v>BNK0057</v>
          </cell>
          <cell r="B58">
            <v>45723</v>
          </cell>
          <cell r="C58" t="str">
            <v>Supplier Payment</v>
          </cell>
          <cell r="D58">
            <v>0</v>
          </cell>
          <cell r="E58">
            <v>37130</v>
          </cell>
          <cell r="F58">
            <v>-595567</v>
          </cell>
        </row>
        <row r="59">
          <cell r="A59" t="str">
            <v>BNK0058</v>
          </cell>
          <cell r="B59">
            <v>45724</v>
          </cell>
          <cell r="C59" t="str">
            <v>Customer Receipt</v>
          </cell>
          <cell r="D59">
            <v>29352</v>
          </cell>
          <cell r="E59">
            <v>0</v>
          </cell>
          <cell r="F59">
            <v>-566215</v>
          </cell>
        </row>
        <row r="60">
          <cell r="A60" t="str">
            <v>BNK0059</v>
          </cell>
          <cell r="B60">
            <v>45721</v>
          </cell>
          <cell r="C60" t="str">
            <v>Supplier Payment</v>
          </cell>
          <cell r="D60">
            <v>0</v>
          </cell>
          <cell r="E60">
            <v>34954</v>
          </cell>
          <cell r="F60">
            <v>-601169</v>
          </cell>
        </row>
        <row r="61">
          <cell r="A61" t="str">
            <v>BNK0060</v>
          </cell>
          <cell r="B61">
            <v>45813</v>
          </cell>
          <cell r="C61" t="str">
            <v>Supplier Payment</v>
          </cell>
          <cell r="D61">
            <v>0</v>
          </cell>
          <cell r="E61">
            <v>11790</v>
          </cell>
          <cell r="F61">
            <v>-612959</v>
          </cell>
        </row>
        <row r="62">
          <cell r="A62" t="str">
            <v>BNK0061</v>
          </cell>
          <cell r="B62">
            <v>45823</v>
          </cell>
          <cell r="C62" t="str">
            <v>Supplier Payment</v>
          </cell>
          <cell r="D62">
            <v>0</v>
          </cell>
          <cell r="E62">
            <v>47486</v>
          </cell>
          <cell r="F62">
            <v>-660445</v>
          </cell>
        </row>
        <row r="63">
          <cell r="A63" t="str">
            <v>BNK0062</v>
          </cell>
          <cell r="B63">
            <v>45835</v>
          </cell>
          <cell r="C63" t="str">
            <v>Bank Fee</v>
          </cell>
          <cell r="D63">
            <v>0</v>
          </cell>
          <cell r="E63">
            <v>35006</v>
          </cell>
          <cell r="F63">
            <v>-695451</v>
          </cell>
        </row>
        <row r="64">
          <cell r="A64" t="str">
            <v>BNK0063</v>
          </cell>
          <cell r="B64">
            <v>45698</v>
          </cell>
          <cell r="C64" t="str">
            <v>Supplier Payment</v>
          </cell>
          <cell r="D64">
            <v>0</v>
          </cell>
          <cell r="E64">
            <v>17423</v>
          </cell>
          <cell r="F64">
            <v>-712874</v>
          </cell>
        </row>
        <row r="65">
          <cell r="A65" t="str">
            <v>BNK0064</v>
          </cell>
          <cell r="B65">
            <v>45983</v>
          </cell>
          <cell r="C65" t="str">
            <v>Bank Fee</v>
          </cell>
          <cell r="D65">
            <v>0</v>
          </cell>
          <cell r="E65">
            <v>37099</v>
          </cell>
          <cell r="F65">
            <v>-749973</v>
          </cell>
        </row>
        <row r="66">
          <cell r="A66" t="str">
            <v>BNK0065</v>
          </cell>
          <cell r="B66">
            <v>45722</v>
          </cell>
          <cell r="C66" t="str">
            <v>Bank Fee</v>
          </cell>
          <cell r="D66">
            <v>0</v>
          </cell>
          <cell r="E66">
            <v>41961</v>
          </cell>
          <cell r="F66">
            <v>-791934</v>
          </cell>
        </row>
        <row r="67">
          <cell r="A67" t="str">
            <v>BNK0066</v>
          </cell>
          <cell r="B67">
            <v>45972</v>
          </cell>
          <cell r="C67" t="str">
            <v>Customer Receipt</v>
          </cell>
          <cell r="D67">
            <v>35962</v>
          </cell>
          <cell r="E67">
            <v>0</v>
          </cell>
          <cell r="F67">
            <v>-755972</v>
          </cell>
        </row>
        <row r="68">
          <cell r="A68" t="str">
            <v>BNK0067</v>
          </cell>
          <cell r="B68">
            <v>45915</v>
          </cell>
          <cell r="C68" t="str">
            <v>Supplier Payment</v>
          </cell>
          <cell r="D68">
            <v>0</v>
          </cell>
          <cell r="E68">
            <v>43007</v>
          </cell>
          <cell r="F68">
            <v>-798979</v>
          </cell>
        </row>
        <row r="69">
          <cell r="A69" t="str">
            <v>BNK0068</v>
          </cell>
          <cell r="B69">
            <v>45961</v>
          </cell>
          <cell r="C69" t="str">
            <v>Supplier Payment</v>
          </cell>
          <cell r="D69">
            <v>0</v>
          </cell>
          <cell r="E69">
            <v>39053</v>
          </cell>
          <cell r="F69">
            <v>-838032</v>
          </cell>
        </row>
        <row r="70">
          <cell r="A70" t="str">
            <v>BNK0069</v>
          </cell>
          <cell r="B70">
            <v>45745</v>
          </cell>
          <cell r="C70" t="str">
            <v>Bank Fee</v>
          </cell>
          <cell r="D70">
            <v>0</v>
          </cell>
          <cell r="E70">
            <v>44170</v>
          </cell>
          <cell r="F70">
            <v>-882202</v>
          </cell>
        </row>
        <row r="71">
          <cell r="A71" t="str">
            <v>BNK0070</v>
          </cell>
          <cell r="B71">
            <v>45946</v>
          </cell>
          <cell r="C71" t="str">
            <v>Customer Receipt</v>
          </cell>
          <cell r="D71">
            <v>3699</v>
          </cell>
          <cell r="E71">
            <v>0</v>
          </cell>
          <cell r="F71">
            <v>-878503</v>
          </cell>
        </row>
        <row r="72">
          <cell r="A72" t="str">
            <v>BNK0071</v>
          </cell>
          <cell r="B72">
            <v>45699</v>
          </cell>
          <cell r="C72" t="str">
            <v>Bank Fee</v>
          </cell>
          <cell r="D72">
            <v>0</v>
          </cell>
          <cell r="E72">
            <v>3979</v>
          </cell>
          <cell r="F72">
            <v>-882482</v>
          </cell>
        </row>
        <row r="73">
          <cell r="A73" t="str">
            <v>BNK0072</v>
          </cell>
          <cell r="B73">
            <v>45991</v>
          </cell>
          <cell r="C73" t="str">
            <v>Salary Payment</v>
          </cell>
          <cell r="D73">
            <v>0</v>
          </cell>
          <cell r="E73">
            <v>14815</v>
          </cell>
          <cell r="F73">
            <v>-897297</v>
          </cell>
        </row>
        <row r="74">
          <cell r="A74" t="str">
            <v>BNK0073</v>
          </cell>
          <cell r="B74">
            <v>45974</v>
          </cell>
          <cell r="C74" t="str">
            <v>Customer Receipt</v>
          </cell>
          <cell r="D74">
            <v>42876</v>
          </cell>
          <cell r="E74">
            <v>0</v>
          </cell>
          <cell r="F74">
            <v>-854421</v>
          </cell>
        </row>
        <row r="75">
          <cell r="A75" t="str">
            <v>BNK0074</v>
          </cell>
          <cell r="B75">
            <v>45912</v>
          </cell>
          <cell r="C75" t="str">
            <v>Bank Fee</v>
          </cell>
          <cell r="D75">
            <v>0</v>
          </cell>
          <cell r="E75">
            <v>42101</v>
          </cell>
          <cell r="F75">
            <v>-896522</v>
          </cell>
        </row>
        <row r="76">
          <cell r="A76" t="str">
            <v>BNK0075</v>
          </cell>
          <cell r="B76">
            <v>45986</v>
          </cell>
          <cell r="C76" t="str">
            <v>Salary Payment</v>
          </cell>
          <cell r="D76">
            <v>0</v>
          </cell>
          <cell r="E76">
            <v>20798</v>
          </cell>
          <cell r="F76">
            <v>-917320</v>
          </cell>
        </row>
        <row r="77">
          <cell r="A77" t="str">
            <v>BNK0076</v>
          </cell>
          <cell r="B77">
            <v>45783</v>
          </cell>
          <cell r="C77" t="str">
            <v>Salary Payment</v>
          </cell>
          <cell r="D77">
            <v>0</v>
          </cell>
          <cell r="E77">
            <v>45891</v>
          </cell>
          <cell r="F77">
            <v>-963211</v>
          </cell>
        </row>
        <row r="78">
          <cell r="A78" t="str">
            <v>BNK0077</v>
          </cell>
          <cell r="B78">
            <v>45810</v>
          </cell>
          <cell r="C78" t="str">
            <v>Customer Receipt</v>
          </cell>
          <cell r="D78">
            <v>30723</v>
          </cell>
          <cell r="E78">
            <v>0</v>
          </cell>
          <cell r="F78">
            <v>-932488</v>
          </cell>
        </row>
        <row r="79">
          <cell r="A79" t="str">
            <v>BNK0078</v>
          </cell>
          <cell r="B79">
            <v>46010</v>
          </cell>
          <cell r="C79" t="str">
            <v>Supplier Payment</v>
          </cell>
          <cell r="D79">
            <v>0</v>
          </cell>
          <cell r="E79">
            <v>4926</v>
          </cell>
          <cell r="F79">
            <v>-937414</v>
          </cell>
        </row>
        <row r="80">
          <cell r="A80" t="str">
            <v>BNK0079</v>
          </cell>
          <cell r="B80">
            <v>45883</v>
          </cell>
          <cell r="C80" t="str">
            <v>Salary Payment</v>
          </cell>
          <cell r="D80">
            <v>0</v>
          </cell>
          <cell r="E80">
            <v>28238</v>
          </cell>
          <cell r="F80">
            <v>-965652</v>
          </cell>
        </row>
        <row r="81">
          <cell r="A81" t="str">
            <v>BNK0080</v>
          </cell>
          <cell r="B81">
            <v>45895</v>
          </cell>
          <cell r="C81" t="str">
            <v>Bank Fee</v>
          </cell>
          <cell r="D81">
            <v>0</v>
          </cell>
          <cell r="E81">
            <v>14370</v>
          </cell>
          <cell r="F81">
            <v>-980022</v>
          </cell>
        </row>
        <row r="82">
          <cell r="A82" t="str">
            <v>BNK0081</v>
          </cell>
          <cell r="B82">
            <v>45968</v>
          </cell>
          <cell r="C82" t="str">
            <v>Bank Fee</v>
          </cell>
          <cell r="D82">
            <v>0</v>
          </cell>
          <cell r="E82">
            <v>10415</v>
          </cell>
          <cell r="F82">
            <v>-990437</v>
          </cell>
        </row>
        <row r="83">
          <cell r="A83" t="str">
            <v>BNK0082</v>
          </cell>
          <cell r="B83">
            <v>45821</v>
          </cell>
          <cell r="C83" t="str">
            <v>Bank Fee</v>
          </cell>
          <cell r="D83">
            <v>0</v>
          </cell>
          <cell r="E83">
            <v>49116</v>
          </cell>
          <cell r="F83">
            <v>-1039553</v>
          </cell>
        </row>
        <row r="84">
          <cell r="A84" t="str">
            <v>BNK0083</v>
          </cell>
          <cell r="B84">
            <v>45862</v>
          </cell>
          <cell r="C84" t="str">
            <v>Bank Fee</v>
          </cell>
          <cell r="D84">
            <v>0</v>
          </cell>
          <cell r="E84">
            <v>9569</v>
          </cell>
          <cell r="F84">
            <v>-1049122</v>
          </cell>
        </row>
        <row r="85">
          <cell r="A85" t="str">
            <v>BNK0084</v>
          </cell>
          <cell r="B85">
            <v>45921</v>
          </cell>
          <cell r="C85" t="str">
            <v>Customer Receipt</v>
          </cell>
          <cell r="D85">
            <v>37808</v>
          </cell>
          <cell r="E85">
            <v>0</v>
          </cell>
          <cell r="F85">
            <v>-1011314</v>
          </cell>
        </row>
        <row r="86">
          <cell r="A86" t="str">
            <v>BNK0085</v>
          </cell>
          <cell r="B86">
            <v>45821</v>
          </cell>
          <cell r="C86" t="str">
            <v>Salary Payment</v>
          </cell>
          <cell r="D86">
            <v>0</v>
          </cell>
          <cell r="E86">
            <v>16842</v>
          </cell>
          <cell r="F86">
            <v>-1028156</v>
          </cell>
        </row>
        <row r="87">
          <cell r="A87" t="str">
            <v>BNK0086</v>
          </cell>
          <cell r="B87">
            <v>45720</v>
          </cell>
          <cell r="C87" t="str">
            <v>Salary Payment</v>
          </cell>
          <cell r="D87">
            <v>0</v>
          </cell>
          <cell r="E87">
            <v>18529</v>
          </cell>
          <cell r="F87">
            <v>-1046685</v>
          </cell>
        </row>
        <row r="88">
          <cell r="A88" t="str">
            <v>BNK0087</v>
          </cell>
          <cell r="B88">
            <v>45784</v>
          </cell>
          <cell r="C88" t="str">
            <v>Customer Receipt</v>
          </cell>
          <cell r="D88">
            <v>10232</v>
          </cell>
          <cell r="E88">
            <v>0</v>
          </cell>
          <cell r="F88">
            <v>-1036453</v>
          </cell>
        </row>
        <row r="89">
          <cell r="A89" t="str">
            <v>BNK0088</v>
          </cell>
          <cell r="B89">
            <v>45683</v>
          </cell>
          <cell r="C89" t="str">
            <v>Salary Payment</v>
          </cell>
          <cell r="D89">
            <v>0</v>
          </cell>
          <cell r="E89">
            <v>20019</v>
          </cell>
          <cell r="F89">
            <v>-1056472</v>
          </cell>
        </row>
        <row r="90">
          <cell r="A90" t="str">
            <v>BNK0089</v>
          </cell>
          <cell r="B90">
            <v>45973</v>
          </cell>
          <cell r="C90" t="str">
            <v>Supplier Payment</v>
          </cell>
          <cell r="D90">
            <v>0</v>
          </cell>
          <cell r="E90">
            <v>28402</v>
          </cell>
          <cell r="F90">
            <v>-1084874</v>
          </cell>
        </row>
        <row r="91">
          <cell r="A91" t="str">
            <v>BNK0090</v>
          </cell>
          <cell r="B91">
            <v>45739</v>
          </cell>
          <cell r="C91" t="str">
            <v>Bank Fee</v>
          </cell>
          <cell r="D91">
            <v>0</v>
          </cell>
          <cell r="E91">
            <v>22458</v>
          </cell>
          <cell r="F91">
            <v>-1107332</v>
          </cell>
        </row>
        <row r="92">
          <cell r="A92" t="str">
            <v>BNK0091</v>
          </cell>
          <cell r="B92">
            <v>45755</v>
          </cell>
          <cell r="C92" t="str">
            <v>Salary Payment</v>
          </cell>
          <cell r="D92">
            <v>0</v>
          </cell>
          <cell r="E92">
            <v>11442</v>
          </cell>
          <cell r="F92">
            <v>-1118774</v>
          </cell>
        </row>
        <row r="93">
          <cell r="A93" t="str">
            <v>BNK0092</v>
          </cell>
          <cell r="B93">
            <v>45921</v>
          </cell>
          <cell r="C93" t="str">
            <v>Salary Payment</v>
          </cell>
          <cell r="D93">
            <v>0</v>
          </cell>
          <cell r="E93">
            <v>31593</v>
          </cell>
          <cell r="F93">
            <v>-1150367</v>
          </cell>
        </row>
        <row r="94">
          <cell r="A94" t="str">
            <v>BNK0093</v>
          </cell>
          <cell r="B94">
            <v>45815</v>
          </cell>
          <cell r="C94" t="str">
            <v>Customer Receipt</v>
          </cell>
          <cell r="D94">
            <v>33595</v>
          </cell>
          <cell r="E94">
            <v>0</v>
          </cell>
          <cell r="F94">
            <v>-1116772</v>
          </cell>
        </row>
        <row r="95">
          <cell r="A95" t="str">
            <v>BNK0094</v>
          </cell>
          <cell r="B95">
            <v>45704</v>
          </cell>
          <cell r="C95" t="str">
            <v>Salary Payment</v>
          </cell>
          <cell r="D95">
            <v>0</v>
          </cell>
          <cell r="E95">
            <v>26771</v>
          </cell>
          <cell r="F95">
            <v>-1143543</v>
          </cell>
        </row>
        <row r="96">
          <cell r="A96" t="str">
            <v>BNK0095</v>
          </cell>
          <cell r="B96">
            <v>45781</v>
          </cell>
          <cell r="C96" t="str">
            <v>Bank Fee</v>
          </cell>
          <cell r="D96">
            <v>0</v>
          </cell>
          <cell r="E96">
            <v>15099</v>
          </cell>
          <cell r="F96">
            <v>-1158642</v>
          </cell>
        </row>
        <row r="97">
          <cell r="A97" t="str">
            <v>BNK0096</v>
          </cell>
          <cell r="B97">
            <v>45682</v>
          </cell>
          <cell r="C97" t="str">
            <v>Bank Fee</v>
          </cell>
          <cell r="D97">
            <v>0</v>
          </cell>
          <cell r="E97">
            <v>4312</v>
          </cell>
          <cell r="F97">
            <v>-1162954</v>
          </cell>
        </row>
        <row r="98">
          <cell r="A98" t="str">
            <v>BNK0097</v>
          </cell>
          <cell r="B98">
            <v>45911</v>
          </cell>
          <cell r="C98" t="str">
            <v>Salary Payment</v>
          </cell>
          <cell r="D98">
            <v>0</v>
          </cell>
          <cell r="E98">
            <v>40158</v>
          </cell>
          <cell r="F98">
            <v>-1203112</v>
          </cell>
        </row>
        <row r="99">
          <cell r="A99" t="str">
            <v>BNK0098</v>
          </cell>
          <cell r="B99">
            <v>45804</v>
          </cell>
          <cell r="C99" t="str">
            <v>Customer Receipt</v>
          </cell>
          <cell r="D99">
            <v>36172</v>
          </cell>
          <cell r="E99">
            <v>0</v>
          </cell>
          <cell r="F99">
            <v>-1166940</v>
          </cell>
        </row>
        <row r="100">
          <cell r="A100" t="str">
            <v>BNK0099</v>
          </cell>
          <cell r="B100">
            <v>45713</v>
          </cell>
          <cell r="C100" t="str">
            <v>Supplier Payment</v>
          </cell>
          <cell r="D100">
            <v>0</v>
          </cell>
          <cell r="E100">
            <v>29241</v>
          </cell>
          <cell r="F100">
            <v>-1196181</v>
          </cell>
        </row>
        <row r="101">
          <cell r="A101" t="str">
            <v>BNK0100</v>
          </cell>
          <cell r="B101">
            <v>45793</v>
          </cell>
          <cell r="C101" t="str">
            <v>Bank Fee</v>
          </cell>
          <cell r="D101">
            <v>0</v>
          </cell>
          <cell r="E101">
            <v>48677</v>
          </cell>
          <cell r="F101">
            <v>-1244858</v>
          </cell>
        </row>
        <row r="102">
          <cell r="A102" t="str">
            <v>BNK0101</v>
          </cell>
          <cell r="B102">
            <v>45864</v>
          </cell>
          <cell r="C102" t="str">
            <v>Customer Receipt</v>
          </cell>
          <cell r="D102">
            <v>24982</v>
          </cell>
          <cell r="E102">
            <v>0</v>
          </cell>
          <cell r="F102">
            <v>-1219876</v>
          </cell>
        </row>
        <row r="103">
          <cell r="A103" t="str">
            <v>BNK0102</v>
          </cell>
          <cell r="B103">
            <v>45863</v>
          </cell>
          <cell r="C103" t="str">
            <v>Supplier Payment</v>
          </cell>
          <cell r="D103">
            <v>0</v>
          </cell>
          <cell r="E103">
            <v>4352</v>
          </cell>
          <cell r="F103">
            <v>-1224228</v>
          </cell>
        </row>
        <row r="104">
          <cell r="A104" t="str">
            <v>BNK0103</v>
          </cell>
          <cell r="B104">
            <v>45843</v>
          </cell>
          <cell r="C104" t="str">
            <v>Bank Fee</v>
          </cell>
          <cell r="D104">
            <v>0</v>
          </cell>
          <cell r="E104">
            <v>37256</v>
          </cell>
          <cell r="F104">
            <v>-1261484</v>
          </cell>
        </row>
        <row r="105">
          <cell r="A105" t="str">
            <v>BNK0104</v>
          </cell>
          <cell r="B105">
            <v>45695</v>
          </cell>
          <cell r="C105" t="str">
            <v>Salary Payment</v>
          </cell>
          <cell r="D105">
            <v>0</v>
          </cell>
          <cell r="E105">
            <v>26319</v>
          </cell>
          <cell r="F105">
            <v>-1287803</v>
          </cell>
        </row>
        <row r="106">
          <cell r="A106" t="str">
            <v>BNK0105</v>
          </cell>
          <cell r="B106">
            <v>45939</v>
          </cell>
          <cell r="C106" t="str">
            <v>Customer Receipt</v>
          </cell>
          <cell r="D106">
            <v>19331</v>
          </cell>
          <cell r="E106">
            <v>0</v>
          </cell>
          <cell r="F106">
            <v>-1268472</v>
          </cell>
        </row>
        <row r="107">
          <cell r="A107" t="str">
            <v>BNK0106</v>
          </cell>
          <cell r="B107">
            <v>45723</v>
          </cell>
          <cell r="C107" t="str">
            <v>Salary Payment</v>
          </cell>
          <cell r="D107">
            <v>0</v>
          </cell>
          <cell r="E107">
            <v>7336</v>
          </cell>
          <cell r="F107">
            <v>-1275808</v>
          </cell>
        </row>
        <row r="108">
          <cell r="A108" t="str">
            <v>BNK0107</v>
          </cell>
          <cell r="B108">
            <v>45849</v>
          </cell>
          <cell r="C108" t="str">
            <v>Bank Fee</v>
          </cell>
          <cell r="D108">
            <v>0</v>
          </cell>
          <cell r="E108">
            <v>23222</v>
          </cell>
          <cell r="F108">
            <v>-1299030</v>
          </cell>
        </row>
        <row r="109">
          <cell r="A109" t="str">
            <v>BNK0108</v>
          </cell>
          <cell r="B109">
            <v>45731</v>
          </cell>
          <cell r="C109" t="str">
            <v>Salary Payment</v>
          </cell>
          <cell r="D109">
            <v>0</v>
          </cell>
          <cell r="E109">
            <v>14045</v>
          </cell>
          <cell r="F109">
            <v>-1313075</v>
          </cell>
        </row>
        <row r="110">
          <cell r="A110" t="str">
            <v>BNK0109</v>
          </cell>
          <cell r="B110">
            <v>45914</v>
          </cell>
          <cell r="C110" t="str">
            <v>Customer Receipt</v>
          </cell>
          <cell r="D110">
            <v>3638</v>
          </cell>
          <cell r="E110">
            <v>0</v>
          </cell>
          <cell r="F110">
            <v>-1309437</v>
          </cell>
        </row>
        <row r="111">
          <cell r="A111" t="str">
            <v>BNK0110</v>
          </cell>
          <cell r="B111">
            <v>45677</v>
          </cell>
          <cell r="C111" t="str">
            <v>Bank Fee</v>
          </cell>
          <cell r="D111">
            <v>0</v>
          </cell>
          <cell r="E111">
            <v>9980</v>
          </cell>
          <cell r="F111">
            <v>-1319417</v>
          </cell>
        </row>
        <row r="112">
          <cell r="A112" t="str">
            <v>BNK0111</v>
          </cell>
          <cell r="B112">
            <v>45900</v>
          </cell>
          <cell r="C112" t="str">
            <v>Salary Payment</v>
          </cell>
          <cell r="D112">
            <v>0</v>
          </cell>
          <cell r="E112">
            <v>35034</v>
          </cell>
          <cell r="F112">
            <v>-1354451</v>
          </cell>
        </row>
        <row r="113">
          <cell r="A113" t="str">
            <v>BNK0112</v>
          </cell>
          <cell r="B113">
            <v>45734</v>
          </cell>
          <cell r="C113" t="str">
            <v>Supplier Payment</v>
          </cell>
          <cell r="D113">
            <v>0</v>
          </cell>
          <cell r="E113">
            <v>40731</v>
          </cell>
          <cell r="F113">
            <v>-1395182</v>
          </cell>
        </row>
        <row r="114">
          <cell r="A114" t="str">
            <v>BNK0113</v>
          </cell>
          <cell r="B114">
            <v>45825</v>
          </cell>
          <cell r="C114" t="str">
            <v>Bank Fee</v>
          </cell>
          <cell r="D114">
            <v>0</v>
          </cell>
          <cell r="E114">
            <v>41178</v>
          </cell>
          <cell r="F114">
            <v>-1436360</v>
          </cell>
        </row>
        <row r="115">
          <cell r="A115" t="str">
            <v>BNK0114</v>
          </cell>
          <cell r="B115">
            <v>45741</v>
          </cell>
          <cell r="C115" t="str">
            <v>Bank Fee</v>
          </cell>
          <cell r="D115">
            <v>0</v>
          </cell>
          <cell r="E115">
            <v>26752</v>
          </cell>
          <cell r="F115">
            <v>-1463112</v>
          </cell>
        </row>
        <row r="116">
          <cell r="A116" t="str">
            <v>BNK0115</v>
          </cell>
          <cell r="B116">
            <v>45961</v>
          </cell>
          <cell r="C116" t="str">
            <v>Salary Payment</v>
          </cell>
          <cell r="D116">
            <v>0</v>
          </cell>
          <cell r="E116">
            <v>23044</v>
          </cell>
          <cell r="F116">
            <v>-1486156</v>
          </cell>
        </row>
        <row r="117">
          <cell r="A117" t="str">
            <v>BNK0116</v>
          </cell>
          <cell r="B117">
            <v>46020</v>
          </cell>
          <cell r="C117" t="str">
            <v>Bank Fee</v>
          </cell>
          <cell r="D117">
            <v>0</v>
          </cell>
          <cell r="E117">
            <v>37891</v>
          </cell>
          <cell r="F117">
            <v>-1524047</v>
          </cell>
        </row>
        <row r="118">
          <cell r="A118" t="str">
            <v>BNK0117</v>
          </cell>
          <cell r="B118">
            <v>45901</v>
          </cell>
          <cell r="C118" t="str">
            <v>Bank Fee</v>
          </cell>
          <cell r="D118">
            <v>0</v>
          </cell>
          <cell r="E118">
            <v>2090</v>
          </cell>
          <cell r="F118">
            <v>-1526137</v>
          </cell>
        </row>
        <row r="119">
          <cell r="A119" t="str">
            <v>BNK0118</v>
          </cell>
          <cell r="B119">
            <v>45827</v>
          </cell>
          <cell r="C119" t="str">
            <v>Customer Receipt</v>
          </cell>
          <cell r="D119">
            <v>45158</v>
          </cell>
          <cell r="E119">
            <v>0</v>
          </cell>
          <cell r="F119">
            <v>-1480979</v>
          </cell>
        </row>
        <row r="120">
          <cell r="A120" t="str">
            <v>BNK0119</v>
          </cell>
          <cell r="B120">
            <v>45871</v>
          </cell>
          <cell r="C120" t="str">
            <v>Bank Fee</v>
          </cell>
          <cell r="D120">
            <v>0</v>
          </cell>
          <cell r="E120">
            <v>39253</v>
          </cell>
          <cell r="F120">
            <v>-1520232</v>
          </cell>
        </row>
        <row r="121">
          <cell r="A121" t="str">
            <v>BNK0120</v>
          </cell>
          <cell r="B121">
            <v>46010</v>
          </cell>
          <cell r="C121" t="str">
            <v>Customer Receipt</v>
          </cell>
          <cell r="D121">
            <v>42239</v>
          </cell>
          <cell r="E121">
            <v>0</v>
          </cell>
          <cell r="F121">
            <v>-1477993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-Index"/>
      <sheetName val="01-Cash-Raw"/>
      <sheetName val="01-Cash-Hlp"/>
      <sheetName val="01-Cash-WP"/>
      <sheetName val="01-Cash-Pvt"/>
      <sheetName val="01-Cash-Dash"/>
      <sheetName val="02-Revenue-Raw"/>
      <sheetName val="02-Revenue-Hlp"/>
      <sheetName val="02-Revenue-WP"/>
      <sheetName val="02-Revenue-Pvt"/>
      <sheetName val="02-Revenue-Dash"/>
      <sheetName val="03-AR-Raw"/>
      <sheetName val="03-AR-Hlp"/>
      <sheetName val="03-AR-WP"/>
      <sheetName val="03-AR-Pvt"/>
      <sheetName val="03-AR-Dash"/>
      <sheetName val="04-Inventory-Raw"/>
      <sheetName val="04-Inventory-Hlp"/>
      <sheetName val="04-Inventory-WP"/>
      <sheetName val="04-Inventory-Pvt"/>
      <sheetName val="04-Inventory-Dash"/>
      <sheetName val="05-COGS-Raw"/>
      <sheetName val="05-COGS-Hlp"/>
      <sheetName val="05-COGS-WP"/>
      <sheetName val="05-COGS-Pvt"/>
      <sheetName val="05-COGS-Dash"/>
      <sheetName val="06-Purchases-Raw"/>
      <sheetName val="06-Purchases-Hlp"/>
      <sheetName val="06-Purchases-WP"/>
      <sheetName val="06-Purchases-Pvt"/>
      <sheetName val="06-Purchases-Dash"/>
      <sheetName val="07-AP-Raw"/>
      <sheetName val="07-AP-Hlp"/>
      <sheetName val="07-AP-WP"/>
      <sheetName val="07-AP-Pvt"/>
      <sheetName val="07-AP-Dash"/>
      <sheetName val="08-Expenses-Raw"/>
      <sheetName val="08-Expenses-Hlp"/>
      <sheetName val="08-Expenses-WP"/>
      <sheetName val="08-Expenses-Pvt"/>
      <sheetName val="08-Expenses-Dash"/>
      <sheetName val="09-PPE-Raw"/>
      <sheetName val="09-PPE-Hlp"/>
      <sheetName val="09-PPE-WP"/>
      <sheetName val="09-PPE-Pvt"/>
      <sheetName val="09-PPE-Dash"/>
      <sheetName val="10-Payroll-Raw"/>
      <sheetName val="10-Payroll-Hlp"/>
      <sheetName val="10-Payroll-WP"/>
      <sheetName val="10-Payroll-Pvt"/>
      <sheetName val="10-Payroll-Dash"/>
      <sheetName val="11-Tax-Raw"/>
      <sheetName val="11-Tax-Hlp"/>
      <sheetName val="11-Tax-WP"/>
      <sheetName val="11-Tax-Pvt"/>
      <sheetName val="11-Tax-Dash"/>
      <sheetName val="12-Loans-Raw"/>
      <sheetName val="12-Loans-Hlp"/>
      <sheetName val="12-Loans-WP"/>
      <sheetName val="12-Loans-Pvt"/>
      <sheetName val="12-Loans-Dash"/>
      <sheetName val="13-Equity-Raw"/>
      <sheetName val="13-Equity-Hlp"/>
      <sheetName val="13-Equity-WP"/>
      <sheetName val="13-Equity-Pvt"/>
      <sheetName val="13-Equity-Dash"/>
      <sheetName val="14-FSA-Raw"/>
      <sheetName val="14-FSA-Hlp"/>
      <sheetName val="14-FSA-WP"/>
      <sheetName val="14-FSA-Pvt"/>
      <sheetName val="14-FSA-Dash"/>
      <sheetName val="15-ICQ-Raw"/>
      <sheetName val="15-ICQ-Hlp"/>
      <sheetName val="15-ICQ-WP"/>
      <sheetName val="15-ICQ-Pvt"/>
      <sheetName val="15-ICQ-Dash"/>
      <sheetName val="RAW_SaleInvoice"/>
      <sheetName val="RAW_PurchaseInvoice"/>
      <sheetName val="RAW_InventoryMovement"/>
      <sheetName val="RAW_PayrollRegister"/>
      <sheetName val="RAW_BankStatement"/>
      <sheetName val="RAW_GeneralLedger"/>
      <sheetName val="RAW_TrialBalance"/>
      <sheetName val="RAW_CustomerMaster"/>
      <sheetName val="RAW_VendorMaster"/>
      <sheetName val="RAW_ProductMaster"/>
      <sheetName val="RAW_EmployeeMaster"/>
      <sheetName val="RAW_FixedAssetReg"/>
      <sheetName val="RAW_ChartOfAccou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G2">
            <v>5075</v>
          </cell>
          <cell r="K2" t="str">
            <v>Normal</v>
          </cell>
        </row>
        <row r="3">
          <cell r="G3">
            <v>2180</v>
          </cell>
          <cell r="K3" t="str">
            <v>Normal</v>
          </cell>
        </row>
        <row r="4">
          <cell r="G4">
            <v>6552</v>
          </cell>
          <cell r="K4" t="str">
            <v>Normal</v>
          </cell>
        </row>
        <row r="5">
          <cell r="G5">
            <v>10191</v>
          </cell>
          <cell r="K5" t="str">
            <v>Normal</v>
          </cell>
        </row>
        <row r="6">
          <cell r="G6">
            <v>5886</v>
          </cell>
          <cell r="K6" t="str">
            <v>Key Customer</v>
          </cell>
        </row>
        <row r="7">
          <cell r="G7">
            <v>3528</v>
          </cell>
          <cell r="K7" t="str">
            <v>Normal</v>
          </cell>
        </row>
        <row r="8">
          <cell r="G8">
            <v>4104</v>
          </cell>
          <cell r="K8" t="str">
            <v>Normal</v>
          </cell>
        </row>
        <row r="9">
          <cell r="G9">
            <v>6125</v>
          </cell>
          <cell r="K9" t="str">
            <v>Normal</v>
          </cell>
        </row>
        <row r="10">
          <cell r="G10">
            <v>8610</v>
          </cell>
          <cell r="K10" t="str">
            <v>Key Customer</v>
          </cell>
        </row>
        <row r="11">
          <cell r="G11">
            <v>4110</v>
          </cell>
          <cell r="K11" t="str">
            <v>Credit Customer</v>
          </cell>
        </row>
        <row r="12">
          <cell r="G12">
            <v>4202</v>
          </cell>
          <cell r="K12" t="str">
            <v>Normal</v>
          </cell>
        </row>
        <row r="13">
          <cell r="G13">
            <v>5014</v>
          </cell>
          <cell r="K13" t="str">
            <v>Key Customer</v>
          </cell>
        </row>
        <row r="14">
          <cell r="G14">
            <v>2156</v>
          </cell>
          <cell r="K14" t="str">
            <v>Credit Customer</v>
          </cell>
        </row>
        <row r="15">
          <cell r="G15">
            <v>3600</v>
          </cell>
          <cell r="K15" t="str">
            <v>Normal</v>
          </cell>
        </row>
        <row r="16">
          <cell r="G16">
            <v>1820</v>
          </cell>
          <cell r="K16" t="str">
            <v>Key Customer</v>
          </cell>
        </row>
        <row r="17">
          <cell r="G17">
            <v>2145</v>
          </cell>
          <cell r="K17" t="str">
            <v>Credit Customer</v>
          </cell>
        </row>
        <row r="18">
          <cell r="G18">
            <v>2054</v>
          </cell>
          <cell r="K18" t="str">
            <v>Normal</v>
          </cell>
        </row>
        <row r="19">
          <cell r="G19">
            <v>231</v>
          </cell>
          <cell r="K19" t="str">
            <v>Credit Customer</v>
          </cell>
        </row>
        <row r="20">
          <cell r="G20">
            <v>3870</v>
          </cell>
          <cell r="K20" t="str">
            <v>Credit Customer</v>
          </cell>
        </row>
        <row r="21">
          <cell r="G21">
            <v>13301</v>
          </cell>
          <cell r="K21" t="str">
            <v>Normal</v>
          </cell>
        </row>
        <row r="22">
          <cell r="G22">
            <v>2226</v>
          </cell>
          <cell r="K22" t="str">
            <v>Normal</v>
          </cell>
        </row>
        <row r="23">
          <cell r="G23">
            <v>1962</v>
          </cell>
          <cell r="K23" t="str">
            <v>Normal</v>
          </cell>
        </row>
        <row r="24">
          <cell r="G24">
            <v>5984</v>
          </cell>
          <cell r="K24" t="str">
            <v>Normal</v>
          </cell>
        </row>
        <row r="25">
          <cell r="G25">
            <v>7098</v>
          </cell>
          <cell r="K25" t="str">
            <v>Normal</v>
          </cell>
        </row>
        <row r="26">
          <cell r="G26">
            <v>3108</v>
          </cell>
          <cell r="K26" t="str">
            <v>Normal</v>
          </cell>
        </row>
        <row r="27">
          <cell r="G27">
            <v>2948</v>
          </cell>
          <cell r="K27" t="str">
            <v>Credit Customer</v>
          </cell>
        </row>
        <row r="28">
          <cell r="G28">
            <v>12642</v>
          </cell>
          <cell r="K28" t="str">
            <v>Normal</v>
          </cell>
        </row>
        <row r="29">
          <cell r="G29">
            <v>5588</v>
          </cell>
          <cell r="K29" t="str">
            <v>Credit Customer</v>
          </cell>
        </row>
        <row r="30">
          <cell r="G30">
            <v>4095</v>
          </cell>
          <cell r="K30" t="str">
            <v>Normal</v>
          </cell>
        </row>
        <row r="31">
          <cell r="G31">
            <v>3584</v>
          </cell>
          <cell r="K31" t="str">
            <v>Normal</v>
          </cell>
        </row>
        <row r="32">
          <cell r="G32">
            <v>2700</v>
          </cell>
          <cell r="K32" t="str">
            <v>Normal</v>
          </cell>
        </row>
        <row r="33">
          <cell r="G33">
            <v>13202</v>
          </cell>
          <cell r="K33" t="str">
            <v>Normal</v>
          </cell>
        </row>
        <row r="34">
          <cell r="G34">
            <v>2370</v>
          </cell>
          <cell r="K34" t="str">
            <v>Key Customer</v>
          </cell>
        </row>
        <row r="35">
          <cell r="G35">
            <v>3465</v>
          </cell>
          <cell r="K35" t="str">
            <v>Key Customer</v>
          </cell>
        </row>
        <row r="36">
          <cell r="G36">
            <v>272</v>
          </cell>
          <cell r="K36" t="str">
            <v>Credit Customer</v>
          </cell>
        </row>
        <row r="37">
          <cell r="G37">
            <v>7950</v>
          </cell>
          <cell r="K37" t="str">
            <v>Credit Customer</v>
          </cell>
        </row>
        <row r="38">
          <cell r="G38">
            <v>5516</v>
          </cell>
          <cell r="K38" t="str">
            <v>Key Customer</v>
          </cell>
        </row>
        <row r="39">
          <cell r="G39">
            <v>6409</v>
          </cell>
          <cell r="K39" t="str">
            <v>Credit Customer</v>
          </cell>
        </row>
        <row r="40">
          <cell r="G40">
            <v>10900</v>
          </cell>
          <cell r="K40" t="str">
            <v>Credit Customer</v>
          </cell>
        </row>
        <row r="41">
          <cell r="G41">
            <v>6322</v>
          </cell>
          <cell r="K41" t="str">
            <v>Key Customer</v>
          </cell>
        </row>
        <row r="42">
          <cell r="G42">
            <v>4796</v>
          </cell>
          <cell r="K42" t="str">
            <v>Key Customer</v>
          </cell>
        </row>
        <row r="43">
          <cell r="G43">
            <v>2650</v>
          </cell>
          <cell r="K43" t="str">
            <v>Credit Customer</v>
          </cell>
        </row>
        <row r="44">
          <cell r="G44">
            <v>6670</v>
          </cell>
          <cell r="K44" t="str">
            <v>Credit Customer</v>
          </cell>
        </row>
        <row r="45">
          <cell r="G45">
            <v>2332</v>
          </cell>
          <cell r="K45" t="str">
            <v>Credit Customer</v>
          </cell>
        </row>
        <row r="46">
          <cell r="G46">
            <v>2997</v>
          </cell>
          <cell r="K46" t="str">
            <v>Normal</v>
          </cell>
        </row>
        <row r="47">
          <cell r="G47">
            <v>5586</v>
          </cell>
          <cell r="K47" t="str">
            <v>Credit Customer</v>
          </cell>
        </row>
        <row r="48">
          <cell r="G48">
            <v>5600</v>
          </cell>
          <cell r="K48" t="str">
            <v>Normal</v>
          </cell>
        </row>
        <row r="49">
          <cell r="G49">
            <v>3822</v>
          </cell>
          <cell r="K49" t="str">
            <v>Key Customer</v>
          </cell>
        </row>
        <row r="50">
          <cell r="G50">
            <v>6104</v>
          </cell>
          <cell r="K50" t="str">
            <v>Key Customer</v>
          </cell>
        </row>
        <row r="51">
          <cell r="G51">
            <v>6536</v>
          </cell>
          <cell r="K51" t="str">
            <v>Key Customer</v>
          </cell>
        </row>
        <row r="52">
          <cell r="G52">
            <v>612</v>
          </cell>
          <cell r="K52" t="str">
            <v>Credit Customer</v>
          </cell>
        </row>
        <row r="53">
          <cell r="G53">
            <v>6794</v>
          </cell>
          <cell r="K53" t="str">
            <v>Normal</v>
          </cell>
        </row>
        <row r="54">
          <cell r="G54">
            <v>2079</v>
          </cell>
          <cell r="K54" t="str">
            <v>Key Customer</v>
          </cell>
        </row>
        <row r="55">
          <cell r="G55">
            <v>7500</v>
          </cell>
          <cell r="K55" t="str">
            <v>Normal</v>
          </cell>
        </row>
        <row r="56">
          <cell r="G56">
            <v>6314</v>
          </cell>
          <cell r="K56" t="str">
            <v>Credit Customer</v>
          </cell>
        </row>
        <row r="57">
          <cell r="G57">
            <v>1802</v>
          </cell>
          <cell r="K57" t="str">
            <v>Key Customer</v>
          </cell>
        </row>
        <row r="58">
          <cell r="G58">
            <v>392</v>
          </cell>
          <cell r="K58" t="str">
            <v>Normal</v>
          </cell>
        </row>
        <row r="59">
          <cell r="G59">
            <v>4500</v>
          </cell>
          <cell r="K59" t="str">
            <v>Key Customer</v>
          </cell>
        </row>
        <row r="60">
          <cell r="G60">
            <v>574</v>
          </cell>
          <cell r="K60" t="str">
            <v>Key Customer</v>
          </cell>
        </row>
        <row r="61">
          <cell r="G61">
            <v>9503</v>
          </cell>
          <cell r="K61" t="str">
            <v>Credit Customer</v>
          </cell>
        </row>
        <row r="62">
          <cell r="G62">
            <v>3060</v>
          </cell>
          <cell r="K62" t="str">
            <v>Normal</v>
          </cell>
        </row>
        <row r="63">
          <cell r="G63">
            <v>2535</v>
          </cell>
          <cell r="K63" t="str">
            <v>Normal</v>
          </cell>
        </row>
        <row r="64">
          <cell r="G64">
            <v>9310</v>
          </cell>
          <cell r="K64" t="str">
            <v>Normal</v>
          </cell>
        </row>
        <row r="65">
          <cell r="G65">
            <v>3536</v>
          </cell>
          <cell r="K65" t="str">
            <v>Normal</v>
          </cell>
        </row>
        <row r="66">
          <cell r="G66">
            <v>1659</v>
          </cell>
          <cell r="K66" t="str">
            <v>Normal</v>
          </cell>
        </row>
        <row r="67">
          <cell r="G67">
            <v>10471</v>
          </cell>
          <cell r="K67" t="str">
            <v>Key Customer</v>
          </cell>
        </row>
        <row r="68">
          <cell r="G68">
            <v>9933</v>
          </cell>
          <cell r="K68" t="str">
            <v>Key Customer</v>
          </cell>
        </row>
        <row r="69">
          <cell r="G69">
            <v>152</v>
          </cell>
          <cell r="K69" t="str">
            <v>Credit Customer</v>
          </cell>
        </row>
        <row r="70">
          <cell r="G70">
            <v>5544</v>
          </cell>
          <cell r="K70" t="str">
            <v>Key Customer</v>
          </cell>
        </row>
        <row r="71">
          <cell r="G71">
            <v>2772</v>
          </cell>
          <cell r="K71" t="str">
            <v>Credit Customer</v>
          </cell>
        </row>
        <row r="72">
          <cell r="G72">
            <v>4900</v>
          </cell>
          <cell r="K72" t="str">
            <v>Normal</v>
          </cell>
        </row>
        <row r="73">
          <cell r="G73">
            <v>4878</v>
          </cell>
          <cell r="K73" t="str">
            <v>Credit Customer</v>
          </cell>
        </row>
        <row r="74">
          <cell r="G74">
            <v>5292</v>
          </cell>
          <cell r="K74" t="str">
            <v>Credit Customer</v>
          </cell>
        </row>
        <row r="75">
          <cell r="G75">
            <v>2516</v>
          </cell>
          <cell r="K75" t="str">
            <v>Key Customer</v>
          </cell>
        </row>
        <row r="76">
          <cell r="G76">
            <v>3948</v>
          </cell>
          <cell r="K76" t="str">
            <v>Normal</v>
          </cell>
        </row>
        <row r="77">
          <cell r="G77">
            <v>4760</v>
          </cell>
          <cell r="K77" t="str">
            <v>Normal</v>
          </cell>
        </row>
        <row r="78">
          <cell r="G78">
            <v>2925</v>
          </cell>
          <cell r="K78" t="str">
            <v>Normal</v>
          </cell>
        </row>
        <row r="79">
          <cell r="G79">
            <v>3250</v>
          </cell>
          <cell r="K79" t="str">
            <v>Normal</v>
          </cell>
        </row>
        <row r="80">
          <cell r="G80">
            <v>3392</v>
          </cell>
          <cell r="K80" t="str">
            <v>Credit Customer</v>
          </cell>
        </row>
        <row r="81">
          <cell r="G81">
            <v>5452</v>
          </cell>
          <cell r="K81" t="str">
            <v>Normal</v>
          </cell>
        </row>
        <row r="82">
          <cell r="G82">
            <v>7124</v>
          </cell>
          <cell r="K82" t="str">
            <v>Normal</v>
          </cell>
        </row>
        <row r="83">
          <cell r="G83">
            <v>6504</v>
          </cell>
          <cell r="K83" t="str">
            <v>Normal</v>
          </cell>
        </row>
        <row r="84">
          <cell r="G84">
            <v>7840</v>
          </cell>
          <cell r="K84" t="str">
            <v>Credit Customer</v>
          </cell>
        </row>
        <row r="85">
          <cell r="G85">
            <v>1224</v>
          </cell>
          <cell r="K85" t="str">
            <v>Credit Customer</v>
          </cell>
        </row>
        <row r="86">
          <cell r="G86">
            <v>13301</v>
          </cell>
          <cell r="K86" t="str">
            <v>Key Customer</v>
          </cell>
        </row>
        <row r="87">
          <cell r="G87">
            <v>4802</v>
          </cell>
          <cell r="K87" t="str">
            <v>Key Customer</v>
          </cell>
        </row>
        <row r="88">
          <cell r="G88">
            <v>3978</v>
          </cell>
          <cell r="K88" t="str">
            <v>Normal</v>
          </cell>
        </row>
        <row r="89">
          <cell r="G89">
            <v>5453</v>
          </cell>
          <cell r="K89" t="str">
            <v>Credit Customer</v>
          </cell>
        </row>
        <row r="90">
          <cell r="G90">
            <v>273</v>
          </cell>
          <cell r="K90" t="str">
            <v>Normal</v>
          </cell>
        </row>
        <row r="91">
          <cell r="G91">
            <v>2808</v>
          </cell>
          <cell r="K91" t="str">
            <v>Normal</v>
          </cell>
        </row>
        <row r="92">
          <cell r="G92">
            <v>1316</v>
          </cell>
          <cell r="K92" t="str">
            <v>Credit Customer</v>
          </cell>
        </row>
        <row r="93">
          <cell r="G93">
            <v>6851</v>
          </cell>
          <cell r="K93" t="str">
            <v>Normal</v>
          </cell>
        </row>
        <row r="94">
          <cell r="G94">
            <v>1326</v>
          </cell>
          <cell r="K94" t="str">
            <v>Normal</v>
          </cell>
        </row>
        <row r="95">
          <cell r="G95">
            <v>2340</v>
          </cell>
          <cell r="K95" t="str">
            <v>Credit Customer</v>
          </cell>
        </row>
        <row r="96">
          <cell r="G96">
            <v>780</v>
          </cell>
          <cell r="K96" t="str">
            <v>Normal</v>
          </cell>
        </row>
        <row r="97">
          <cell r="G97">
            <v>4704</v>
          </cell>
          <cell r="K97" t="str">
            <v>Normal</v>
          </cell>
        </row>
        <row r="98">
          <cell r="G98">
            <v>4134</v>
          </cell>
          <cell r="K98" t="str">
            <v>Key Customer</v>
          </cell>
        </row>
        <row r="99">
          <cell r="G99">
            <v>1943</v>
          </cell>
          <cell r="K99" t="str">
            <v>Key Customer</v>
          </cell>
        </row>
        <row r="100">
          <cell r="G100">
            <v>10101</v>
          </cell>
          <cell r="K100" t="str">
            <v>Credit Customer</v>
          </cell>
        </row>
        <row r="101">
          <cell r="G101">
            <v>12005</v>
          </cell>
          <cell r="K101" t="str">
            <v>Credit Customer</v>
          </cell>
        </row>
      </sheetData>
      <sheetData sheetId="8">
        <row r="9">
          <cell r="B9">
            <v>479350</v>
          </cell>
          <cell r="E9">
            <v>100</v>
          </cell>
          <cell r="H9">
            <v>4793.5</v>
          </cell>
          <cell r="K9">
            <v>0.5051319495149682</v>
          </cell>
        </row>
      </sheetData>
      <sheetData sheetId="9"/>
      <sheetData sheetId="10">
        <row r="9">
          <cell r="C9" t="str">
            <v>Sum of Sales_Amount</v>
          </cell>
          <cell r="D9" t="str">
            <v>Count of Invoice_No</v>
          </cell>
        </row>
        <row r="10">
          <cell r="B10" t="str">
            <v>Normal</v>
          </cell>
          <cell r="C10">
            <v>220479</v>
          </cell>
          <cell r="D10">
            <v>46</v>
          </cell>
        </row>
        <row r="11">
          <cell r="B11" t="str">
            <v>Key Customer</v>
          </cell>
          <cell r="C11">
            <v>121860</v>
          </cell>
          <cell r="D11">
            <v>24</v>
          </cell>
        </row>
        <row r="12">
          <cell r="B12" t="str">
            <v>Credit Customer</v>
          </cell>
          <cell r="C12">
            <v>137011</v>
          </cell>
          <cell r="D12">
            <v>30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sus/Desktop/cv%20excel%20github/pivot%20table%20-%20Cop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0.465592476852" createdVersion="8" refreshedVersion="8" minRefreshableVersion="3" recordCount="120" xr:uid="{A003E8D9-D9BB-4180-9668-6F9C7B308355}">
  <cacheSource type="worksheet">
    <worksheetSource ref="A1:I121" sheet="01-Cash-Hlp" r:id="rId2"/>
  </cacheSource>
  <cacheFields count="9">
    <cacheField name="Bank_Ref" numFmtId="0">
      <sharedItems count="120">
        <s v="BNK0001"/>
        <s v="BNK0002"/>
        <s v="BNK0003"/>
        <s v="BNK0004"/>
        <s v="BNK0005"/>
        <s v="BNK0006"/>
        <s v="BNK0007"/>
        <s v="BNK0008"/>
        <s v="BNK0009"/>
        <s v="BNK0010"/>
        <s v="BNK0011"/>
        <s v="BNK0012"/>
        <s v="BNK0013"/>
        <s v="BNK0014"/>
        <s v="BNK0015"/>
        <s v="BNK0016"/>
        <s v="BNK0017"/>
        <s v="BNK0018"/>
        <s v="BNK0019"/>
        <s v="BNK0020"/>
        <s v="BNK0021"/>
        <s v="BNK0022"/>
        <s v="BNK0023"/>
        <s v="BNK0024"/>
        <s v="BNK0025"/>
        <s v="BNK0026"/>
        <s v="BNK0027"/>
        <s v="BNK0028"/>
        <s v="BNK0029"/>
        <s v="BNK0030"/>
        <s v="BNK0031"/>
        <s v="BNK0032"/>
        <s v="BNK0033"/>
        <s v="BNK0034"/>
        <s v="BNK0035"/>
        <s v="BNK0036"/>
        <s v="BNK0037"/>
        <s v="BNK0038"/>
        <s v="BNK0039"/>
        <s v="BNK0040"/>
        <s v="BNK0041"/>
        <s v="BNK0042"/>
        <s v="BNK0043"/>
        <s v="BNK0044"/>
        <s v="BNK0045"/>
        <s v="BNK0046"/>
        <s v="BNK0047"/>
        <s v="BNK0048"/>
        <s v="BNK0049"/>
        <s v="BNK0050"/>
        <s v="BNK0051"/>
        <s v="BNK0052"/>
        <s v="BNK0053"/>
        <s v="BNK0054"/>
        <s v="BNK0055"/>
        <s v="BNK0056"/>
        <s v="BNK0057"/>
        <s v="BNK0058"/>
        <s v="BNK0059"/>
        <s v="BNK0060"/>
        <s v="BNK0061"/>
        <s v="BNK0062"/>
        <s v="BNK0063"/>
        <s v="BNK0064"/>
        <s v="BNK0065"/>
        <s v="BNK0066"/>
        <s v="BNK0067"/>
        <s v="BNK0068"/>
        <s v="BNK0069"/>
        <s v="BNK0070"/>
        <s v="BNK0071"/>
        <s v="BNK0072"/>
        <s v="BNK0073"/>
        <s v="BNK0074"/>
        <s v="BNK0075"/>
        <s v="BNK0076"/>
        <s v="BNK0077"/>
        <s v="BNK0078"/>
        <s v="BNK0079"/>
        <s v="BNK0080"/>
        <s v="BNK0081"/>
        <s v="BNK0082"/>
        <s v="BNK0083"/>
        <s v="BNK0084"/>
        <s v="BNK0085"/>
        <s v="BNK0086"/>
        <s v="BNK0087"/>
        <s v="BNK0088"/>
        <s v="BNK0089"/>
        <s v="BNK0090"/>
        <s v="BNK0091"/>
        <s v="BNK0092"/>
        <s v="BNK0093"/>
        <s v="BNK0094"/>
        <s v="BNK0095"/>
        <s v="BNK0096"/>
        <s v="BNK0097"/>
        <s v="BNK0098"/>
        <s v="BNK0099"/>
        <s v="BNK0100"/>
        <s v="BNK0101"/>
        <s v="BNK0102"/>
        <s v="BNK0103"/>
        <s v="BNK0104"/>
        <s v="BNK0105"/>
        <s v="BNK0106"/>
        <s v="BNK0107"/>
        <s v="BNK0108"/>
        <s v="BNK0109"/>
        <s v="BNK0110"/>
        <s v="BNK0111"/>
        <s v="BNK0112"/>
        <s v="BNK0113"/>
        <s v="BNK0114"/>
        <s v="BNK0115"/>
        <s v="BNK0116"/>
        <s v="BNK0117"/>
        <s v="BNK0118"/>
        <s v="BNK0119"/>
        <s v="BNK0120"/>
      </sharedItems>
    </cacheField>
    <cacheField name="Date" numFmtId="164">
      <sharedItems containsSemiMixedTypes="0" containsNonDate="0" containsDate="1" containsString="0" minDate="2025-01-16T00:00:00" maxDate="2025-12-30T00:00:00"/>
    </cacheField>
    <cacheField name="Description" numFmtId="0">
      <sharedItems count="4">
        <s v="Customer Receipt"/>
        <s v="Bank Fee"/>
        <s v="Salary Payment"/>
        <s v="Supplier Payment"/>
      </sharedItems>
    </cacheField>
    <cacheField name="Debit" numFmtId="0">
      <sharedItems containsSemiMixedTypes="0" containsString="0" containsNumber="1" containsInteger="1" minValue="0" maxValue="45158" count="27">
        <n v="14211"/>
        <n v="0"/>
        <n v="24394"/>
        <n v="30303"/>
        <n v="42908"/>
        <n v="9272"/>
        <n v="26090"/>
        <n v="8434"/>
        <n v="9895"/>
        <n v="23768"/>
        <n v="33376"/>
        <n v="6650"/>
        <n v="43096"/>
        <n v="29352"/>
        <n v="35962"/>
        <n v="3699"/>
        <n v="42876"/>
        <n v="30723"/>
        <n v="37808"/>
        <n v="10232"/>
        <n v="33595"/>
        <n v="36172"/>
        <n v="24982"/>
        <n v="19331"/>
        <n v="3638"/>
        <n v="45158"/>
        <n v="42239"/>
      </sharedItems>
    </cacheField>
    <cacheField name="Credit" numFmtId="0">
      <sharedItems containsSemiMixedTypes="0" containsString="0" containsNumber="1" containsInteger="1" minValue="0" maxValue="49713" count="95">
        <n v="0"/>
        <n v="3746"/>
        <n v="34776"/>
        <n v="32024"/>
        <n v="43395"/>
        <n v="22753"/>
        <n v="25118"/>
        <n v="49713"/>
        <n v="23219"/>
        <n v="46355"/>
        <n v="35031"/>
        <n v="48650"/>
        <n v="29220"/>
        <n v="20252"/>
        <n v="6247"/>
        <n v="20375"/>
        <n v="40493"/>
        <n v="46204"/>
        <n v="41294"/>
        <n v="44986"/>
        <n v="34625"/>
        <n v="10357"/>
        <n v="43281"/>
        <n v="11055"/>
        <n v="25380"/>
        <n v="38612"/>
        <n v="25048"/>
        <n v="43569"/>
        <n v="33705"/>
        <n v="8717"/>
        <n v="47139"/>
        <n v="41099"/>
        <n v="33191"/>
        <n v="12315"/>
        <n v="45690"/>
        <n v="36531"/>
        <n v="11322"/>
        <n v="34341"/>
        <n v="14171"/>
        <n v="37308"/>
        <n v="37152"/>
        <n v="27093"/>
        <n v="27921"/>
        <n v="5833"/>
        <n v="31528"/>
        <n v="37130"/>
        <n v="34954"/>
        <n v="11790"/>
        <n v="47486"/>
        <n v="35006"/>
        <n v="17423"/>
        <n v="37099"/>
        <n v="41961"/>
        <n v="43007"/>
        <n v="39053"/>
        <n v="44170"/>
        <n v="3979"/>
        <n v="14815"/>
        <n v="42101"/>
        <n v="20798"/>
        <n v="45891"/>
        <n v="4926"/>
        <n v="28238"/>
        <n v="14370"/>
        <n v="10415"/>
        <n v="49116"/>
        <n v="9569"/>
        <n v="16842"/>
        <n v="18529"/>
        <n v="20019"/>
        <n v="28402"/>
        <n v="22458"/>
        <n v="11442"/>
        <n v="31593"/>
        <n v="26771"/>
        <n v="15099"/>
        <n v="4312"/>
        <n v="40158"/>
        <n v="29241"/>
        <n v="48677"/>
        <n v="4352"/>
        <n v="37256"/>
        <n v="26319"/>
        <n v="7336"/>
        <n v="23222"/>
        <n v="14045"/>
        <n v="9980"/>
        <n v="35034"/>
        <n v="40731"/>
        <n v="41178"/>
        <n v="26752"/>
        <n v="23044"/>
        <n v="37891"/>
        <n v="2090"/>
        <n v="39253"/>
      </sharedItems>
    </cacheField>
    <cacheField name="Balance" numFmtId="0">
      <sharedItems containsSemiMixedTypes="0" containsString="0" containsNumber="1" containsInteger="1" minValue="-1526137" maxValue="514211"/>
    </cacheField>
    <cacheField name="Month" numFmtId="0">
      <sharedItems count="12">
        <s v="May"/>
        <s v="Apr"/>
        <s v="Jun"/>
        <s v="Oct"/>
        <s v="Jan"/>
        <s v="Dec"/>
        <s v="Mar"/>
        <s v="Jul"/>
        <s v="Sep"/>
        <s v="Feb"/>
        <s v="Aug"/>
        <s v="Nov"/>
      </sharedItems>
    </cacheField>
    <cacheField name="Net Amount (THB)" numFmtId="0">
      <sharedItems containsSemiMixedTypes="0" containsString="0" containsNumber="1" containsInteger="1" minValue="-45158" maxValue="49713"/>
    </cacheField>
    <cacheField name="Size Flag" numFmtId="0">
      <sharedItems count="1">
        <s v="Norm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d v="2025-05-31T00:00:00"/>
    <x v="0"/>
    <x v="0"/>
    <x v="0"/>
    <n v="514211"/>
    <x v="0"/>
    <n v="-14211"/>
    <x v="0"/>
  </r>
  <r>
    <x v="1"/>
    <d v="2025-04-13T00:00:00"/>
    <x v="1"/>
    <x v="1"/>
    <x v="1"/>
    <n v="510465"/>
    <x v="1"/>
    <n v="3746"/>
    <x v="0"/>
  </r>
  <r>
    <x v="2"/>
    <d v="2025-06-08T00:00:00"/>
    <x v="2"/>
    <x v="1"/>
    <x v="2"/>
    <n v="475689"/>
    <x v="2"/>
    <n v="34776"/>
    <x v="0"/>
  </r>
  <r>
    <x v="3"/>
    <d v="2025-10-06T00:00:00"/>
    <x v="1"/>
    <x v="1"/>
    <x v="3"/>
    <n v="443665"/>
    <x v="3"/>
    <n v="32024"/>
    <x v="0"/>
  </r>
  <r>
    <x v="4"/>
    <d v="2025-01-19T00:00:00"/>
    <x v="3"/>
    <x v="1"/>
    <x v="4"/>
    <n v="400270"/>
    <x v="4"/>
    <n v="43395"/>
    <x v="0"/>
  </r>
  <r>
    <x v="5"/>
    <d v="2025-05-27T00:00:00"/>
    <x v="0"/>
    <x v="2"/>
    <x v="0"/>
    <n v="424664"/>
    <x v="0"/>
    <n v="-24394"/>
    <x v="0"/>
  </r>
  <r>
    <x v="6"/>
    <d v="2025-12-02T00:00:00"/>
    <x v="1"/>
    <x v="1"/>
    <x v="5"/>
    <n v="401911"/>
    <x v="5"/>
    <n v="22753"/>
    <x v="0"/>
  </r>
  <r>
    <x v="7"/>
    <d v="2025-03-05T00:00:00"/>
    <x v="2"/>
    <x v="1"/>
    <x v="6"/>
    <n v="376793"/>
    <x v="6"/>
    <n v="25118"/>
    <x v="0"/>
  </r>
  <r>
    <x v="8"/>
    <d v="2025-07-24T00:00:00"/>
    <x v="2"/>
    <x v="1"/>
    <x v="7"/>
    <n v="327080"/>
    <x v="7"/>
    <n v="49713"/>
    <x v="0"/>
  </r>
  <r>
    <x v="9"/>
    <d v="2025-07-17T00:00:00"/>
    <x v="3"/>
    <x v="1"/>
    <x v="8"/>
    <n v="303861"/>
    <x v="7"/>
    <n v="23219"/>
    <x v="0"/>
  </r>
  <r>
    <x v="10"/>
    <d v="2025-09-12T00:00:00"/>
    <x v="2"/>
    <x v="1"/>
    <x v="9"/>
    <n v="257506"/>
    <x v="8"/>
    <n v="46355"/>
    <x v="0"/>
  </r>
  <r>
    <x v="11"/>
    <d v="2025-07-08T00:00:00"/>
    <x v="1"/>
    <x v="1"/>
    <x v="10"/>
    <n v="222475"/>
    <x v="7"/>
    <n v="35031"/>
    <x v="0"/>
  </r>
  <r>
    <x v="12"/>
    <d v="2025-02-12T00:00:00"/>
    <x v="2"/>
    <x v="1"/>
    <x v="11"/>
    <n v="173825"/>
    <x v="9"/>
    <n v="48650"/>
    <x v="0"/>
  </r>
  <r>
    <x v="13"/>
    <d v="2025-02-10T00:00:00"/>
    <x v="3"/>
    <x v="1"/>
    <x v="12"/>
    <n v="144605"/>
    <x v="9"/>
    <n v="29220"/>
    <x v="0"/>
  </r>
  <r>
    <x v="14"/>
    <d v="2025-10-07T00:00:00"/>
    <x v="1"/>
    <x v="1"/>
    <x v="13"/>
    <n v="124353"/>
    <x v="3"/>
    <n v="20252"/>
    <x v="0"/>
  </r>
  <r>
    <x v="15"/>
    <d v="2025-02-22T00:00:00"/>
    <x v="1"/>
    <x v="1"/>
    <x v="14"/>
    <n v="118106"/>
    <x v="9"/>
    <n v="6247"/>
    <x v="0"/>
  </r>
  <r>
    <x v="16"/>
    <d v="2025-12-05T00:00:00"/>
    <x v="1"/>
    <x v="1"/>
    <x v="15"/>
    <n v="97731"/>
    <x v="5"/>
    <n v="20375"/>
    <x v="0"/>
  </r>
  <r>
    <x v="17"/>
    <d v="2025-08-17T00:00:00"/>
    <x v="2"/>
    <x v="1"/>
    <x v="16"/>
    <n v="57238"/>
    <x v="10"/>
    <n v="40493"/>
    <x v="0"/>
  </r>
  <r>
    <x v="18"/>
    <d v="2025-03-27T00:00:00"/>
    <x v="2"/>
    <x v="1"/>
    <x v="17"/>
    <n v="11034"/>
    <x v="6"/>
    <n v="46204"/>
    <x v="0"/>
  </r>
  <r>
    <x v="19"/>
    <d v="2025-06-29T00:00:00"/>
    <x v="0"/>
    <x v="3"/>
    <x v="0"/>
    <n v="41337"/>
    <x v="2"/>
    <n v="-30303"/>
    <x v="0"/>
  </r>
  <r>
    <x v="20"/>
    <d v="2025-06-30T00:00:00"/>
    <x v="2"/>
    <x v="1"/>
    <x v="18"/>
    <n v="43"/>
    <x v="2"/>
    <n v="41294"/>
    <x v="0"/>
  </r>
  <r>
    <x v="21"/>
    <d v="2025-05-21T00:00:00"/>
    <x v="0"/>
    <x v="4"/>
    <x v="0"/>
    <n v="42951"/>
    <x v="0"/>
    <n v="-42908"/>
    <x v="0"/>
  </r>
  <r>
    <x v="22"/>
    <d v="2025-02-08T00:00:00"/>
    <x v="2"/>
    <x v="1"/>
    <x v="19"/>
    <n v="-2035"/>
    <x v="9"/>
    <n v="44986"/>
    <x v="0"/>
  </r>
  <r>
    <x v="23"/>
    <d v="2025-07-06T00:00:00"/>
    <x v="3"/>
    <x v="1"/>
    <x v="20"/>
    <n v="-36660"/>
    <x v="7"/>
    <n v="34625"/>
    <x v="0"/>
  </r>
  <r>
    <x v="24"/>
    <d v="2025-01-16T00:00:00"/>
    <x v="2"/>
    <x v="1"/>
    <x v="21"/>
    <n v="-47017"/>
    <x v="4"/>
    <n v="10357"/>
    <x v="0"/>
  </r>
  <r>
    <x v="25"/>
    <d v="2025-01-18T00:00:00"/>
    <x v="0"/>
    <x v="5"/>
    <x v="0"/>
    <n v="-37745"/>
    <x v="4"/>
    <n v="-9272"/>
    <x v="0"/>
  </r>
  <r>
    <x v="26"/>
    <d v="2025-05-01T00:00:00"/>
    <x v="1"/>
    <x v="1"/>
    <x v="22"/>
    <n v="-81026"/>
    <x v="0"/>
    <n v="43281"/>
    <x v="0"/>
  </r>
  <r>
    <x v="27"/>
    <d v="2025-07-05T00:00:00"/>
    <x v="0"/>
    <x v="6"/>
    <x v="0"/>
    <n v="-54936"/>
    <x v="7"/>
    <n v="-26090"/>
    <x v="0"/>
  </r>
  <r>
    <x v="28"/>
    <d v="2025-11-06T00:00:00"/>
    <x v="2"/>
    <x v="1"/>
    <x v="23"/>
    <n v="-65991"/>
    <x v="11"/>
    <n v="11055"/>
    <x v="0"/>
  </r>
  <r>
    <x v="29"/>
    <d v="2025-07-09T00:00:00"/>
    <x v="2"/>
    <x v="1"/>
    <x v="24"/>
    <n v="-91371"/>
    <x v="7"/>
    <n v="25380"/>
    <x v="0"/>
  </r>
  <r>
    <x v="30"/>
    <d v="2025-02-09T00:00:00"/>
    <x v="3"/>
    <x v="1"/>
    <x v="25"/>
    <n v="-129983"/>
    <x v="9"/>
    <n v="38612"/>
    <x v="0"/>
  </r>
  <r>
    <x v="31"/>
    <d v="2025-09-29T00:00:00"/>
    <x v="2"/>
    <x v="1"/>
    <x v="26"/>
    <n v="-155031"/>
    <x v="8"/>
    <n v="25048"/>
    <x v="0"/>
  </r>
  <r>
    <x v="32"/>
    <d v="2025-06-10T00:00:00"/>
    <x v="1"/>
    <x v="1"/>
    <x v="27"/>
    <n v="-198600"/>
    <x v="2"/>
    <n v="43569"/>
    <x v="0"/>
  </r>
  <r>
    <x v="33"/>
    <d v="2025-05-08T00:00:00"/>
    <x v="0"/>
    <x v="7"/>
    <x v="0"/>
    <n v="-190166"/>
    <x v="0"/>
    <n v="-8434"/>
    <x v="0"/>
  </r>
  <r>
    <x v="34"/>
    <d v="2025-04-06T00:00:00"/>
    <x v="2"/>
    <x v="1"/>
    <x v="28"/>
    <n v="-223871"/>
    <x v="1"/>
    <n v="33705"/>
    <x v="0"/>
  </r>
  <r>
    <x v="35"/>
    <d v="2025-10-15T00:00:00"/>
    <x v="1"/>
    <x v="1"/>
    <x v="29"/>
    <n v="-232588"/>
    <x v="3"/>
    <n v="8717"/>
    <x v="0"/>
  </r>
  <r>
    <x v="36"/>
    <d v="2025-05-14T00:00:00"/>
    <x v="2"/>
    <x v="1"/>
    <x v="30"/>
    <n v="-279727"/>
    <x v="0"/>
    <n v="47139"/>
    <x v="0"/>
  </r>
  <r>
    <x v="37"/>
    <d v="2025-04-20T00:00:00"/>
    <x v="1"/>
    <x v="1"/>
    <x v="31"/>
    <n v="-320826"/>
    <x v="1"/>
    <n v="41099"/>
    <x v="0"/>
  </r>
  <r>
    <x v="38"/>
    <d v="2025-12-22T00:00:00"/>
    <x v="3"/>
    <x v="1"/>
    <x v="32"/>
    <n v="-354017"/>
    <x v="5"/>
    <n v="33191"/>
    <x v="0"/>
  </r>
  <r>
    <x v="39"/>
    <d v="2025-03-04T00:00:00"/>
    <x v="0"/>
    <x v="8"/>
    <x v="0"/>
    <n v="-344122"/>
    <x v="6"/>
    <n v="-9895"/>
    <x v="0"/>
  </r>
  <r>
    <x v="40"/>
    <d v="2025-08-20T00:00:00"/>
    <x v="2"/>
    <x v="1"/>
    <x v="33"/>
    <n v="-356437"/>
    <x v="10"/>
    <n v="12315"/>
    <x v="0"/>
  </r>
  <r>
    <x v="41"/>
    <d v="2025-02-14T00:00:00"/>
    <x v="1"/>
    <x v="1"/>
    <x v="34"/>
    <n v="-402127"/>
    <x v="9"/>
    <n v="45690"/>
    <x v="0"/>
  </r>
  <r>
    <x v="42"/>
    <d v="2025-12-08T00:00:00"/>
    <x v="0"/>
    <x v="9"/>
    <x v="0"/>
    <n v="-378359"/>
    <x v="5"/>
    <n v="-23768"/>
    <x v="0"/>
  </r>
  <r>
    <x v="43"/>
    <d v="2025-10-09T00:00:00"/>
    <x v="1"/>
    <x v="1"/>
    <x v="35"/>
    <n v="-414890"/>
    <x v="3"/>
    <n v="36531"/>
    <x v="0"/>
  </r>
  <r>
    <x v="44"/>
    <d v="2025-06-03T00:00:00"/>
    <x v="3"/>
    <x v="1"/>
    <x v="36"/>
    <n v="-426212"/>
    <x v="2"/>
    <n v="11322"/>
    <x v="0"/>
  </r>
  <r>
    <x v="45"/>
    <d v="2025-07-05T00:00:00"/>
    <x v="3"/>
    <x v="1"/>
    <x v="37"/>
    <n v="-460553"/>
    <x v="7"/>
    <n v="34341"/>
    <x v="0"/>
  </r>
  <r>
    <x v="46"/>
    <d v="2025-03-04T00:00:00"/>
    <x v="3"/>
    <x v="1"/>
    <x v="38"/>
    <n v="-474724"/>
    <x v="6"/>
    <n v="14171"/>
    <x v="0"/>
  </r>
  <r>
    <x v="47"/>
    <d v="2025-05-02T00:00:00"/>
    <x v="0"/>
    <x v="10"/>
    <x v="0"/>
    <n v="-441348"/>
    <x v="0"/>
    <n v="-33376"/>
    <x v="0"/>
  </r>
  <r>
    <x v="48"/>
    <d v="2025-07-04T00:00:00"/>
    <x v="1"/>
    <x v="1"/>
    <x v="39"/>
    <n v="-478656"/>
    <x v="7"/>
    <n v="37308"/>
    <x v="0"/>
  </r>
  <r>
    <x v="49"/>
    <d v="2025-08-28T00:00:00"/>
    <x v="3"/>
    <x v="1"/>
    <x v="40"/>
    <n v="-515808"/>
    <x v="10"/>
    <n v="37152"/>
    <x v="0"/>
  </r>
  <r>
    <x v="50"/>
    <d v="2025-11-10T00:00:00"/>
    <x v="0"/>
    <x v="11"/>
    <x v="0"/>
    <n v="-509158"/>
    <x v="11"/>
    <n v="-6650"/>
    <x v="0"/>
  </r>
  <r>
    <x v="51"/>
    <d v="2025-06-08T00:00:00"/>
    <x v="2"/>
    <x v="1"/>
    <x v="41"/>
    <n v="-536251"/>
    <x v="2"/>
    <n v="27093"/>
    <x v="0"/>
  </r>
  <r>
    <x v="52"/>
    <d v="2025-09-27T00:00:00"/>
    <x v="2"/>
    <x v="1"/>
    <x v="42"/>
    <n v="-564172"/>
    <x v="8"/>
    <n v="27921"/>
    <x v="0"/>
  </r>
  <r>
    <x v="53"/>
    <d v="2025-10-22T00:00:00"/>
    <x v="3"/>
    <x v="1"/>
    <x v="43"/>
    <n v="-570005"/>
    <x v="3"/>
    <n v="5833"/>
    <x v="0"/>
  </r>
  <r>
    <x v="54"/>
    <d v="2025-06-12T00:00:00"/>
    <x v="0"/>
    <x v="12"/>
    <x v="0"/>
    <n v="-526909"/>
    <x v="2"/>
    <n v="-43096"/>
    <x v="0"/>
  </r>
  <r>
    <x v="55"/>
    <d v="2025-08-19T00:00:00"/>
    <x v="1"/>
    <x v="1"/>
    <x v="44"/>
    <n v="-558437"/>
    <x v="10"/>
    <n v="31528"/>
    <x v="0"/>
  </r>
  <r>
    <x v="56"/>
    <d v="2025-03-07T00:00:00"/>
    <x v="3"/>
    <x v="1"/>
    <x v="45"/>
    <n v="-595567"/>
    <x v="6"/>
    <n v="37130"/>
    <x v="0"/>
  </r>
  <r>
    <x v="57"/>
    <d v="2025-03-08T00:00:00"/>
    <x v="0"/>
    <x v="13"/>
    <x v="0"/>
    <n v="-566215"/>
    <x v="6"/>
    <n v="-29352"/>
    <x v="0"/>
  </r>
  <r>
    <x v="58"/>
    <d v="2025-03-05T00:00:00"/>
    <x v="3"/>
    <x v="1"/>
    <x v="46"/>
    <n v="-601169"/>
    <x v="6"/>
    <n v="34954"/>
    <x v="0"/>
  </r>
  <r>
    <x v="59"/>
    <d v="2025-06-05T00:00:00"/>
    <x v="3"/>
    <x v="1"/>
    <x v="47"/>
    <n v="-612959"/>
    <x v="2"/>
    <n v="11790"/>
    <x v="0"/>
  </r>
  <r>
    <x v="60"/>
    <d v="2025-06-15T00:00:00"/>
    <x v="3"/>
    <x v="1"/>
    <x v="48"/>
    <n v="-660445"/>
    <x v="2"/>
    <n v="47486"/>
    <x v="0"/>
  </r>
  <r>
    <x v="61"/>
    <d v="2025-06-27T00:00:00"/>
    <x v="1"/>
    <x v="1"/>
    <x v="49"/>
    <n v="-695451"/>
    <x v="2"/>
    <n v="35006"/>
    <x v="0"/>
  </r>
  <r>
    <x v="62"/>
    <d v="2025-02-10T00:00:00"/>
    <x v="3"/>
    <x v="1"/>
    <x v="50"/>
    <n v="-712874"/>
    <x v="9"/>
    <n v="17423"/>
    <x v="0"/>
  </r>
  <r>
    <x v="63"/>
    <d v="2025-11-22T00:00:00"/>
    <x v="1"/>
    <x v="1"/>
    <x v="51"/>
    <n v="-749973"/>
    <x v="11"/>
    <n v="37099"/>
    <x v="0"/>
  </r>
  <r>
    <x v="64"/>
    <d v="2025-03-06T00:00:00"/>
    <x v="1"/>
    <x v="1"/>
    <x v="52"/>
    <n v="-791934"/>
    <x v="6"/>
    <n v="41961"/>
    <x v="0"/>
  </r>
  <r>
    <x v="65"/>
    <d v="2025-11-11T00:00:00"/>
    <x v="0"/>
    <x v="14"/>
    <x v="0"/>
    <n v="-755972"/>
    <x v="11"/>
    <n v="-35962"/>
    <x v="0"/>
  </r>
  <r>
    <x v="66"/>
    <d v="2025-09-15T00:00:00"/>
    <x v="3"/>
    <x v="1"/>
    <x v="53"/>
    <n v="-798979"/>
    <x v="8"/>
    <n v="43007"/>
    <x v="0"/>
  </r>
  <r>
    <x v="67"/>
    <d v="2025-10-31T00:00:00"/>
    <x v="3"/>
    <x v="1"/>
    <x v="54"/>
    <n v="-838032"/>
    <x v="3"/>
    <n v="39053"/>
    <x v="0"/>
  </r>
  <r>
    <x v="68"/>
    <d v="2025-03-29T00:00:00"/>
    <x v="1"/>
    <x v="1"/>
    <x v="55"/>
    <n v="-882202"/>
    <x v="6"/>
    <n v="44170"/>
    <x v="0"/>
  </r>
  <r>
    <x v="69"/>
    <d v="2025-10-16T00:00:00"/>
    <x v="0"/>
    <x v="15"/>
    <x v="0"/>
    <n v="-878503"/>
    <x v="3"/>
    <n v="-3699"/>
    <x v="0"/>
  </r>
  <r>
    <x v="70"/>
    <d v="2025-02-11T00:00:00"/>
    <x v="1"/>
    <x v="1"/>
    <x v="56"/>
    <n v="-882482"/>
    <x v="9"/>
    <n v="3979"/>
    <x v="0"/>
  </r>
  <r>
    <x v="71"/>
    <d v="2025-11-30T00:00:00"/>
    <x v="2"/>
    <x v="1"/>
    <x v="57"/>
    <n v="-897297"/>
    <x v="11"/>
    <n v="14815"/>
    <x v="0"/>
  </r>
  <r>
    <x v="72"/>
    <d v="2025-11-13T00:00:00"/>
    <x v="0"/>
    <x v="16"/>
    <x v="0"/>
    <n v="-854421"/>
    <x v="11"/>
    <n v="-42876"/>
    <x v="0"/>
  </r>
  <r>
    <x v="73"/>
    <d v="2025-09-12T00:00:00"/>
    <x v="1"/>
    <x v="1"/>
    <x v="58"/>
    <n v="-896522"/>
    <x v="8"/>
    <n v="42101"/>
    <x v="0"/>
  </r>
  <r>
    <x v="74"/>
    <d v="2025-11-25T00:00:00"/>
    <x v="2"/>
    <x v="1"/>
    <x v="59"/>
    <n v="-917320"/>
    <x v="11"/>
    <n v="20798"/>
    <x v="0"/>
  </r>
  <r>
    <x v="75"/>
    <d v="2025-05-06T00:00:00"/>
    <x v="2"/>
    <x v="1"/>
    <x v="60"/>
    <n v="-963211"/>
    <x v="0"/>
    <n v="45891"/>
    <x v="0"/>
  </r>
  <r>
    <x v="76"/>
    <d v="2025-06-02T00:00:00"/>
    <x v="0"/>
    <x v="17"/>
    <x v="0"/>
    <n v="-932488"/>
    <x v="2"/>
    <n v="-30723"/>
    <x v="0"/>
  </r>
  <r>
    <x v="77"/>
    <d v="2025-12-19T00:00:00"/>
    <x v="3"/>
    <x v="1"/>
    <x v="61"/>
    <n v="-937414"/>
    <x v="5"/>
    <n v="4926"/>
    <x v="0"/>
  </r>
  <r>
    <x v="78"/>
    <d v="2025-08-14T00:00:00"/>
    <x v="2"/>
    <x v="1"/>
    <x v="62"/>
    <n v="-965652"/>
    <x v="10"/>
    <n v="28238"/>
    <x v="0"/>
  </r>
  <r>
    <x v="79"/>
    <d v="2025-08-26T00:00:00"/>
    <x v="1"/>
    <x v="1"/>
    <x v="63"/>
    <n v="-980022"/>
    <x v="10"/>
    <n v="14370"/>
    <x v="0"/>
  </r>
  <r>
    <x v="80"/>
    <d v="2025-11-07T00:00:00"/>
    <x v="1"/>
    <x v="1"/>
    <x v="64"/>
    <n v="-990437"/>
    <x v="11"/>
    <n v="10415"/>
    <x v="0"/>
  </r>
  <r>
    <x v="81"/>
    <d v="2025-06-13T00:00:00"/>
    <x v="1"/>
    <x v="1"/>
    <x v="65"/>
    <n v="-1039553"/>
    <x v="2"/>
    <n v="49116"/>
    <x v="0"/>
  </r>
  <r>
    <x v="82"/>
    <d v="2025-07-24T00:00:00"/>
    <x v="1"/>
    <x v="1"/>
    <x v="66"/>
    <n v="-1049122"/>
    <x v="7"/>
    <n v="9569"/>
    <x v="0"/>
  </r>
  <r>
    <x v="83"/>
    <d v="2025-09-21T00:00:00"/>
    <x v="0"/>
    <x v="18"/>
    <x v="0"/>
    <n v="-1011314"/>
    <x v="8"/>
    <n v="-37808"/>
    <x v="0"/>
  </r>
  <r>
    <x v="84"/>
    <d v="2025-06-13T00:00:00"/>
    <x v="2"/>
    <x v="1"/>
    <x v="67"/>
    <n v="-1028156"/>
    <x v="2"/>
    <n v="16842"/>
    <x v="0"/>
  </r>
  <r>
    <x v="85"/>
    <d v="2025-03-04T00:00:00"/>
    <x v="2"/>
    <x v="1"/>
    <x v="68"/>
    <n v="-1046685"/>
    <x v="6"/>
    <n v="18529"/>
    <x v="0"/>
  </r>
  <r>
    <x v="86"/>
    <d v="2025-05-07T00:00:00"/>
    <x v="0"/>
    <x v="19"/>
    <x v="0"/>
    <n v="-1036453"/>
    <x v="0"/>
    <n v="-10232"/>
    <x v="0"/>
  </r>
  <r>
    <x v="87"/>
    <d v="2025-01-26T00:00:00"/>
    <x v="2"/>
    <x v="1"/>
    <x v="69"/>
    <n v="-1056472"/>
    <x v="4"/>
    <n v="20019"/>
    <x v="0"/>
  </r>
  <r>
    <x v="88"/>
    <d v="2025-11-12T00:00:00"/>
    <x v="3"/>
    <x v="1"/>
    <x v="70"/>
    <n v="-1084874"/>
    <x v="11"/>
    <n v="28402"/>
    <x v="0"/>
  </r>
  <r>
    <x v="89"/>
    <d v="2025-03-23T00:00:00"/>
    <x v="1"/>
    <x v="1"/>
    <x v="71"/>
    <n v="-1107332"/>
    <x v="6"/>
    <n v="22458"/>
    <x v="0"/>
  </r>
  <r>
    <x v="90"/>
    <d v="2025-04-08T00:00:00"/>
    <x v="2"/>
    <x v="1"/>
    <x v="72"/>
    <n v="-1118774"/>
    <x v="1"/>
    <n v="11442"/>
    <x v="0"/>
  </r>
  <r>
    <x v="91"/>
    <d v="2025-09-21T00:00:00"/>
    <x v="2"/>
    <x v="1"/>
    <x v="73"/>
    <n v="-1150367"/>
    <x v="8"/>
    <n v="31593"/>
    <x v="0"/>
  </r>
  <r>
    <x v="92"/>
    <d v="2025-06-07T00:00:00"/>
    <x v="0"/>
    <x v="20"/>
    <x v="0"/>
    <n v="-1116772"/>
    <x v="2"/>
    <n v="-33595"/>
    <x v="0"/>
  </r>
  <r>
    <x v="93"/>
    <d v="2025-02-16T00:00:00"/>
    <x v="2"/>
    <x v="1"/>
    <x v="74"/>
    <n v="-1143543"/>
    <x v="9"/>
    <n v="26771"/>
    <x v="0"/>
  </r>
  <r>
    <x v="94"/>
    <d v="2025-05-04T00:00:00"/>
    <x v="1"/>
    <x v="1"/>
    <x v="75"/>
    <n v="-1158642"/>
    <x v="0"/>
    <n v="15099"/>
    <x v="0"/>
  </r>
  <r>
    <x v="95"/>
    <d v="2025-01-25T00:00:00"/>
    <x v="1"/>
    <x v="1"/>
    <x v="76"/>
    <n v="-1162954"/>
    <x v="4"/>
    <n v="4312"/>
    <x v="0"/>
  </r>
  <r>
    <x v="96"/>
    <d v="2025-09-11T00:00:00"/>
    <x v="2"/>
    <x v="1"/>
    <x v="77"/>
    <n v="-1203112"/>
    <x v="8"/>
    <n v="40158"/>
    <x v="0"/>
  </r>
  <r>
    <x v="97"/>
    <d v="2025-05-27T00:00:00"/>
    <x v="0"/>
    <x v="21"/>
    <x v="0"/>
    <n v="-1166940"/>
    <x v="0"/>
    <n v="-36172"/>
    <x v="0"/>
  </r>
  <r>
    <x v="98"/>
    <d v="2025-02-25T00:00:00"/>
    <x v="3"/>
    <x v="1"/>
    <x v="78"/>
    <n v="-1196181"/>
    <x v="9"/>
    <n v="29241"/>
    <x v="0"/>
  </r>
  <r>
    <x v="99"/>
    <d v="2025-05-16T00:00:00"/>
    <x v="1"/>
    <x v="1"/>
    <x v="79"/>
    <n v="-1244858"/>
    <x v="0"/>
    <n v="48677"/>
    <x v="0"/>
  </r>
  <r>
    <x v="100"/>
    <d v="2025-07-26T00:00:00"/>
    <x v="0"/>
    <x v="22"/>
    <x v="0"/>
    <n v="-1219876"/>
    <x v="7"/>
    <n v="-24982"/>
    <x v="0"/>
  </r>
  <r>
    <x v="101"/>
    <d v="2025-07-25T00:00:00"/>
    <x v="3"/>
    <x v="1"/>
    <x v="80"/>
    <n v="-1224228"/>
    <x v="7"/>
    <n v="4352"/>
    <x v="0"/>
  </r>
  <r>
    <x v="102"/>
    <d v="2025-07-05T00:00:00"/>
    <x v="1"/>
    <x v="1"/>
    <x v="81"/>
    <n v="-1261484"/>
    <x v="7"/>
    <n v="37256"/>
    <x v="0"/>
  </r>
  <r>
    <x v="103"/>
    <d v="2025-02-07T00:00:00"/>
    <x v="2"/>
    <x v="1"/>
    <x v="82"/>
    <n v="-1287803"/>
    <x v="9"/>
    <n v="26319"/>
    <x v="0"/>
  </r>
  <r>
    <x v="104"/>
    <d v="2025-10-09T00:00:00"/>
    <x v="0"/>
    <x v="23"/>
    <x v="0"/>
    <n v="-1268472"/>
    <x v="3"/>
    <n v="-19331"/>
    <x v="0"/>
  </r>
  <r>
    <x v="105"/>
    <d v="2025-03-07T00:00:00"/>
    <x v="2"/>
    <x v="1"/>
    <x v="83"/>
    <n v="-1275808"/>
    <x v="6"/>
    <n v="7336"/>
    <x v="0"/>
  </r>
  <r>
    <x v="106"/>
    <d v="2025-07-11T00:00:00"/>
    <x v="1"/>
    <x v="1"/>
    <x v="84"/>
    <n v="-1299030"/>
    <x v="7"/>
    <n v="23222"/>
    <x v="0"/>
  </r>
  <r>
    <x v="107"/>
    <d v="2025-03-15T00:00:00"/>
    <x v="2"/>
    <x v="1"/>
    <x v="85"/>
    <n v="-1313075"/>
    <x v="6"/>
    <n v="14045"/>
    <x v="0"/>
  </r>
  <r>
    <x v="108"/>
    <d v="2025-09-14T00:00:00"/>
    <x v="0"/>
    <x v="24"/>
    <x v="0"/>
    <n v="-1309437"/>
    <x v="8"/>
    <n v="-3638"/>
    <x v="0"/>
  </r>
  <r>
    <x v="109"/>
    <d v="2025-01-20T00:00:00"/>
    <x v="1"/>
    <x v="1"/>
    <x v="86"/>
    <n v="-1319417"/>
    <x v="4"/>
    <n v="9980"/>
    <x v="0"/>
  </r>
  <r>
    <x v="110"/>
    <d v="2025-08-31T00:00:00"/>
    <x v="2"/>
    <x v="1"/>
    <x v="87"/>
    <n v="-1354451"/>
    <x v="10"/>
    <n v="35034"/>
    <x v="0"/>
  </r>
  <r>
    <x v="111"/>
    <d v="2025-03-18T00:00:00"/>
    <x v="3"/>
    <x v="1"/>
    <x v="88"/>
    <n v="-1395182"/>
    <x v="6"/>
    <n v="40731"/>
    <x v="0"/>
  </r>
  <r>
    <x v="112"/>
    <d v="2025-06-17T00:00:00"/>
    <x v="1"/>
    <x v="1"/>
    <x v="89"/>
    <n v="-1436360"/>
    <x v="2"/>
    <n v="41178"/>
    <x v="0"/>
  </r>
  <r>
    <x v="113"/>
    <d v="2025-03-25T00:00:00"/>
    <x v="1"/>
    <x v="1"/>
    <x v="90"/>
    <n v="-1463112"/>
    <x v="6"/>
    <n v="26752"/>
    <x v="0"/>
  </r>
  <r>
    <x v="114"/>
    <d v="2025-10-31T00:00:00"/>
    <x v="2"/>
    <x v="1"/>
    <x v="91"/>
    <n v="-1486156"/>
    <x v="3"/>
    <n v="23044"/>
    <x v="0"/>
  </r>
  <r>
    <x v="115"/>
    <d v="2025-12-29T00:00:00"/>
    <x v="1"/>
    <x v="1"/>
    <x v="92"/>
    <n v="-1524047"/>
    <x v="5"/>
    <n v="37891"/>
    <x v="0"/>
  </r>
  <r>
    <x v="116"/>
    <d v="2025-09-01T00:00:00"/>
    <x v="1"/>
    <x v="1"/>
    <x v="93"/>
    <n v="-1526137"/>
    <x v="8"/>
    <n v="2090"/>
    <x v="0"/>
  </r>
  <r>
    <x v="117"/>
    <d v="2025-06-19T00:00:00"/>
    <x v="0"/>
    <x v="25"/>
    <x v="0"/>
    <n v="-1480979"/>
    <x v="2"/>
    <n v="-45158"/>
    <x v="0"/>
  </r>
  <r>
    <x v="118"/>
    <d v="2025-08-02T00:00:00"/>
    <x v="1"/>
    <x v="1"/>
    <x v="94"/>
    <n v="-1520232"/>
    <x v="10"/>
    <n v="39253"/>
    <x v="0"/>
  </r>
  <r>
    <x v="119"/>
    <d v="2025-12-19T00:00:00"/>
    <x v="0"/>
    <x v="26"/>
    <x v="0"/>
    <n v="-1477993"/>
    <x v="5"/>
    <n v="-4223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092545-A190-4C3F-9D93-199BA6916D7B}" name="PivotTable4" cacheId="227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O14" firstHeaderRow="1" firstDataRow="2" firstDataCol="2" rowPageCount="1" colPageCount="1"/>
  <pivotFields count="9">
    <pivotField compact="0" outline="0" showAll="0" defaultSubtotal="0"/>
    <pivotField compact="0" numFmtId="164" outline="0" showAll="0" defaultSubtotal="0"/>
    <pivotField axis="axisRow" compact="0" outline="0" showAll="0" defaultSubtotal="0">
      <items count="4">
        <item x="1"/>
        <item x="0"/>
        <item x="2"/>
        <item x="3"/>
      </items>
    </pivotField>
    <pivotField dataField="1" compact="0" outline="0" showAll="0" defaultSubtotal="0"/>
    <pivotField dataField="1" compact="0" outline="0" showAll="0" defaultSubtotal="0"/>
    <pivotField compact="0" outline="0" showAll="0" defaultSubtotal="0"/>
    <pivotField axis="axisCol" compact="0" outline="0" showAll="0" defaultSubtotal="0">
      <items count="12">
        <item x="4"/>
        <item sd="0" x="9"/>
        <item x="6"/>
        <item x="1"/>
        <item x="0"/>
        <item x="2"/>
        <item x="7"/>
        <item x="10"/>
        <item x="8"/>
        <item x="3"/>
        <item x="11"/>
        <item x="5"/>
      </items>
    </pivotField>
    <pivotField compact="0" outline="0" showAll="0" defaultSubtotal="0"/>
    <pivotField axis="axisPage" compact="0" outline="0" showAll="0" defaultSubtotal="0">
      <items count="1">
        <item x="0"/>
      </items>
    </pivotField>
  </pivotFields>
  <rowFields count="2">
    <field x="2"/>
    <field x="-2"/>
  </rowFields>
  <row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8" hier="-1"/>
  </pageFields>
  <dataFields count="2">
    <dataField name="Sum of Debit" fld="3" baseField="0" baseItem="0"/>
    <dataField name="Sum of Credit" fld="4" baseField="0" baseItem="0"/>
  </dataFields>
  <formats count="32">
    <format dxfId="31">
      <pivotArea type="all" dataOnly="0" outline="0" fieldPosition="0"/>
    </format>
    <format dxfId="30">
      <pivotArea outline="0" collapsedLevelsAreSubtotals="1" fieldPosition="0"/>
    </format>
    <format dxfId="29">
      <pivotArea type="origin" dataOnly="0" labelOnly="1" outline="0" fieldPosition="0"/>
    </format>
    <format dxfId="28">
      <pivotArea field="6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2" type="button" dataOnly="0" labelOnly="1" outline="0" axis="axisRow" fieldPosition="0"/>
    </format>
    <format dxfId="25">
      <pivotArea field="-2" type="button" dataOnly="0" labelOnly="1" outline="0" axis="axisRow" fieldPosition="1"/>
    </format>
    <format dxfId="24">
      <pivotArea dataOnly="0" labelOnly="1" outline="0" fieldPosition="0">
        <references count="1">
          <reference field="2" count="0"/>
        </references>
      </pivotArea>
    </format>
    <format dxfId="23">
      <pivotArea field="2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22">
      <pivotArea field="2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17">
      <pivotArea dataOnly="0" labelOnly="1" outline="0" fieldPosition="0">
        <references count="1">
          <reference field="6" count="0"/>
        </references>
      </pivotArea>
    </format>
    <format dxfId="16">
      <pivotArea dataOnly="0" labelOnly="1" grandCol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origin" dataOnly="0" labelOnly="1" outline="0" fieldPosition="0"/>
    </format>
    <format dxfId="12">
      <pivotArea field="6" type="button" dataOnly="0" labelOnly="1" outline="0" axis="axisCol" fieldPosition="0"/>
    </format>
    <format dxfId="11">
      <pivotArea type="topRight" dataOnly="0" labelOnly="1" outline="0" fieldPosition="0"/>
    </format>
    <format dxfId="10">
      <pivotArea field="2" type="button" dataOnly="0" labelOnly="1" outline="0" axis="axisRow" fieldPosition="0"/>
    </format>
    <format dxfId="9">
      <pivotArea field="-2" type="button" dataOnly="0" labelOnly="1" outline="0" axis="axisRow" fieldPosition="1"/>
    </format>
    <format dxfId="8">
      <pivotArea dataOnly="0" labelOnly="1" outline="0" fieldPosition="0">
        <references count="1">
          <reference field="2" count="0"/>
        </references>
      </pivotArea>
    </format>
    <format dxfId="7">
      <pivotArea field="2" dataOnly="0" labelOnly="1" grandRow="1" outline="0" axis="axisRow" fieldPosition="0">
        <references count="1">
          <reference field="4294967294" count="1" selected="0">
            <x v="0"/>
          </reference>
        </references>
      </pivotArea>
    </format>
    <format dxfId="6">
      <pivotArea field="2" dataOnly="0" labelOnly="1" grandRow="1" outline="0" axis="axisRow" fieldPosition="0">
        <references count="1">
          <reference field="4294967294" count="1" selected="0">
            <x v="1"/>
          </reference>
        </references>
      </pivotArea>
    </format>
    <format dxfId="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1">
      <pivotArea dataOnly="0" labelOnly="1" outline="0" fieldPosition="0">
        <references count="1">
          <reference field="6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6D00-78E8-4FCF-A565-38B2E81424BF}">
  <sheetPr>
    <tabColor theme="3" tint="0.749992370372631"/>
  </sheetPr>
  <dimension ref="A1:F122"/>
  <sheetViews>
    <sheetView workbookViewId="0">
      <selection activeCell="B9" sqref="B9"/>
    </sheetView>
  </sheetViews>
  <sheetFormatPr defaultColWidth="8.6328125" defaultRowHeight="14.5" x14ac:dyDescent="0.35"/>
  <cols>
    <col min="1" max="1" width="16" customWidth="1"/>
    <col min="2" max="2" width="16.6328125" bestFit="1" customWidth="1"/>
    <col min="3" max="6" width="16" customWidth="1"/>
  </cols>
  <sheetData>
    <row r="1" spans="1:6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35">
      <c r="A2" t="str">
        <f>[1]RAW_BankStatement!A2</f>
        <v>BNK0001</v>
      </c>
      <c r="B2" s="2">
        <f>[1]RAW_BankStatement!B2</f>
        <v>45808</v>
      </c>
      <c r="C2" t="str">
        <f>[1]RAW_BankStatement!C2</f>
        <v>Customer Receipt</v>
      </c>
      <c r="D2">
        <f>[1]RAW_BankStatement!D2</f>
        <v>14211</v>
      </c>
      <c r="E2">
        <f>[1]RAW_BankStatement!E2</f>
        <v>0</v>
      </c>
      <c r="F2">
        <f>[1]RAW_BankStatement!F2</f>
        <v>514211</v>
      </c>
    </row>
    <row r="3" spans="1:6" ht="15" customHeight="1" x14ac:dyDescent="0.35">
      <c r="A3" t="str">
        <f>[1]RAW_BankStatement!A3</f>
        <v>BNK0002</v>
      </c>
      <c r="B3" s="2">
        <f>[1]RAW_BankStatement!B3</f>
        <v>45760</v>
      </c>
      <c r="C3" t="str">
        <f>[1]RAW_BankStatement!C3</f>
        <v>Bank Fee</v>
      </c>
      <c r="D3">
        <f>[1]RAW_BankStatement!D3</f>
        <v>0</v>
      </c>
      <c r="E3">
        <f>[1]RAW_BankStatement!E3</f>
        <v>3746</v>
      </c>
      <c r="F3">
        <f>[1]RAW_BankStatement!F3</f>
        <v>510465</v>
      </c>
    </row>
    <row r="4" spans="1:6" ht="15" customHeight="1" x14ac:dyDescent="0.35">
      <c r="A4" t="str">
        <f>[1]RAW_BankStatement!A4</f>
        <v>BNK0003</v>
      </c>
      <c r="B4" s="2">
        <f>[1]RAW_BankStatement!B4</f>
        <v>45816</v>
      </c>
      <c r="C4" t="str">
        <f>[1]RAW_BankStatement!C4</f>
        <v>Salary Payment</v>
      </c>
      <c r="D4">
        <f>[1]RAW_BankStatement!D4</f>
        <v>0</v>
      </c>
      <c r="E4">
        <f>[1]RAW_BankStatement!E4</f>
        <v>34776</v>
      </c>
      <c r="F4">
        <f>[1]RAW_BankStatement!F4</f>
        <v>475689</v>
      </c>
    </row>
    <row r="5" spans="1:6" ht="15" customHeight="1" x14ac:dyDescent="0.35">
      <c r="A5" t="str">
        <f>[1]RAW_BankStatement!A5</f>
        <v>BNK0004</v>
      </c>
      <c r="B5" s="2">
        <f>[1]RAW_BankStatement!B5</f>
        <v>45936</v>
      </c>
      <c r="C5" t="str">
        <f>[1]RAW_BankStatement!C5</f>
        <v>Bank Fee</v>
      </c>
      <c r="D5">
        <f>[1]RAW_BankStatement!D5</f>
        <v>0</v>
      </c>
      <c r="E5">
        <f>[1]RAW_BankStatement!E5</f>
        <v>32024</v>
      </c>
      <c r="F5">
        <f>[1]RAW_BankStatement!F5</f>
        <v>443665</v>
      </c>
    </row>
    <row r="6" spans="1:6" ht="15" customHeight="1" x14ac:dyDescent="0.35">
      <c r="A6" t="str">
        <f>[1]RAW_BankStatement!A6</f>
        <v>BNK0005</v>
      </c>
      <c r="B6" s="2">
        <f>[1]RAW_BankStatement!B6</f>
        <v>45676</v>
      </c>
      <c r="C6" t="str">
        <f>[1]RAW_BankStatement!C6</f>
        <v>Supplier Payment</v>
      </c>
      <c r="D6">
        <f>[1]RAW_BankStatement!D6</f>
        <v>0</v>
      </c>
      <c r="E6">
        <f>[1]RAW_BankStatement!E6</f>
        <v>43395</v>
      </c>
      <c r="F6">
        <f>[1]RAW_BankStatement!F6</f>
        <v>400270</v>
      </c>
    </row>
    <row r="7" spans="1:6" ht="15" customHeight="1" x14ac:dyDescent="0.35">
      <c r="A7" t="str">
        <f>[1]RAW_BankStatement!A7</f>
        <v>BNK0006</v>
      </c>
      <c r="B7" s="2">
        <f>[1]RAW_BankStatement!B7</f>
        <v>45804</v>
      </c>
      <c r="C7" t="str">
        <f>[1]RAW_BankStatement!C7</f>
        <v>Customer Receipt</v>
      </c>
      <c r="D7">
        <f>[1]RAW_BankStatement!D7</f>
        <v>24394</v>
      </c>
      <c r="E7">
        <f>[1]RAW_BankStatement!E7</f>
        <v>0</v>
      </c>
      <c r="F7">
        <f>[1]RAW_BankStatement!F7</f>
        <v>424664</v>
      </c>
    </row>
    <row r="8" spans="1:6" ht="15" customHeight="1" x14ac:dyDescent="0.35">
      <c r="A8" t="str">
        <f>[1]RAW_BankStatement!A8</f>
        <v>BNK0007</v>
      </c>
      <c r="B8" s="2">
        <f>[1]RAW_BankStatement!B8</f>
        <v>45993</v>
      </c>
      <c r="C8" t="str">
        <f>[1]RAW_BankStatement!C8</f>
        <v>Bank Fee</v>
      </c>
      <c r="D8">
        <f>[1]RAW_BankStatement!D8</f>
        <v>0</v>
      </c>
      <c r="E8">
        <f>[1]RAW_BankStatement!E8</f>
        <v>22753</v>
      </c>
      <c r="F8">
        <f>[1]RAW_BankStatement!F8</f>
        <v>401911</v>
      </c>
    </row>
    <row r="9" spans="1:6" ht="15" customHeight="1" x14ac:dyDescent="0.35">
      <c r="A9" t="str">
        <f>[1]RAW_BankStatement!A9</f>
        <v>BNK0008</v>
      </c>
      <c r="B9" s="2">
        <f>[1]RAW_BankStatement!B9</f>
        <v>45721</v>
      </c>
      <c r="C9" t="str">
        <f>[1]RAW_BankStatement!C9</f>
        <v>Salary Payment</v>
      </c>
      <c r="D9">
        <f>[1]RAW_BankStatement!D9</f>
        <v>0</v>
      </c>
      <c r="E9">
        <f>[1]RAW_BankStatement!E9</f>
        <v>25118</v>
      </c>
      <c r="F9">
        <f>[1]RAW_BankStatement!F9</f>
        <v>376793</v>
      </c>
    </row>
    <row r="10" spans="1:6" ht="15" customHeight="1" x14ac:dyDescent="0.35">
      <c r="A10" t="str">
        <f>[1]RAW_BankStatement!A10</f>
        <v>BNK0009</v>
      </c>
      <c r="B10" s="2">
        <f>[1]RAW_BankStatement!B10</f>
        <v>45862</v>
      </c>
      <c r="C10" t="str">
        <f>[1]RAW_BankStatement!C10</f>
        <v>Salary Payment</v>
      </c>
      <c r="D10">
        <f>[1]RAW_BankStatement!D10</f>
        <v>0</v>
      </c>
      <c r="E10">
        <f>[1]RAW_BankStatement!E10</f>
        <v>49713</v>
      </c>
      <c r="F10">
        <f>[1]RAW_BankStatement!F10</f>
        <v>327080</v>
      </c>
    </row>
    <row r="11" spans="1:6" ht="15" customHeight="1" x14ac:dyDescent="0.35">
      <c r="A11" t="str">
        <f>[1]RAW_BankStatement!A11</f>
        <v>BNK0010</v>
      </c>
      <c r="B11" s="2">
        <f>[1]RAW_BankStatement!B11</f>
        <v>45855</v>
      </c>
      <c r="C11" t="str">
        <f>[1]RAW_BankStatement!C11</f>
        <v>Supplier Payment</v>
      </c>
      <c r="D11">
        <f>[1]RAW_BankStatement!D11</f>
        <v>0</v>
      </c>
      <c r="E11">
        <f>[1]RAW_BankStatement!E11</f>
        <v>23219</v>
      </c>
      <c r="F11">
        <f>[1]RAW_BankStatement!F11</f>
        <v>303861</v>
      </c>
    </row>
    <row r="12" spans="1:6" ht="15" customHeight="1" x14ac:dyDescent="0.35">
      <c r="A12" t="str">
        <f>[1]RAW_BankStatement!A12</f>
        <v>BNK0011</v>
      </c>
      <c r="B12" s="2">
        <f>[1]RAW_BankStatement!B12</f>
        <v>45912</v>
      </c>
      <c r="C12" t="str">
        <f>[1]RAW_BankStatement!C12</f>
        <v>Salary Payment</v>
      </c>
      <c r="D12">
        <f>[1]RAW_BankStatement!D12</f>
        <v>0</v>
      </c>
      <c r="E12">
        <f>[1]RAW_BankStatement!E12</f>
        <v>46355</v>
      </c>
      <c r="F12">
        <f>[1]RAW_BankStatement!F12</f>
        <v>257506</v>
      </c>
    </row>
    <row r="13" spans="1:6" ht="15" customHeight="1" x14ac:dyDescent="0.35">
      <c r="A13" t="str">
        <f>[1]RAW_BankStatement!A13</f>
        <v>BNK0012</v>
      </c>
      <c r="B13" s="2">
        <f>[1]RAW_BankStatement!B13</f>
        <v>45846</v>
      </c>
      <c r="C13" t="str">
        <f>[1]RAW_BankStatement!C13</f>
        <v>Bank Fee</v>
      </c>
      <c r="D13">
        <f>[1]RAW_BankStatement!D13</f>
        <v>0</v>
      </c>
      <c r="E13">
        <f>[1]RAW_BankStatement!E13</f>
        <v>35031</v>
      </c>
      <c r="F13">
        <f>[1]RAW_BankStatement!F13</f>
        <v>222475</v>
      </c>
    </row>
    <row r="14" spans="1:6" ht="15" customHeight="1" x14ac:dyDescent="0.35">
      <c r="A14" t="str">
        <f>[1]RAW_BankStatement!A14</f>
        <v>BNK0013</v>
      </c>
      <c r="B14" s="2">
        <f>[1]RAW_BankStatement!B14</f>
        <v>45700</v>
      </c>
      <c r="C14" t="str">
        <f>[1]RAW_BankStatement!C14</f>
        <v>Salary Payment</v>
      </c>
      <c r="D14">
        <f>[1]RAW_BankStatement!D14</f>
        <v>0</v>
      </c>
      <c r="E14">
        <f>[1]RAW_BankStatement!E14</f>
        <v>48650</v>
      </c>
      <c r="F14">
        <f>[1]RAW_BankStatement!F14</f>
        <v>173825</v>
      </c>
    </row>
    <row r="15" spans="1:6" ht="15" customHeight="1" x14ac:dyDescent="0.35">
      <c r="A15" t="str">
        <f>[1]RAW_BankStatement!A15</f>
        <v>BNK0014</v>
      </c>
      <c r="B15" s="2">
        <f>[1]RAW_BankStatement!B15</f>
        <v>45698</v>
      </c>
      <c r="C15" t="str">
        <f>[1]RAW_BankStatement!C15</f>
        <v>Supplier Payment</v>
      </c>
      <c r="D15">
        <f>[1]RAW_BankStatement!D15</f>
        <v>0</v>
      </c>
      <c r="E15">
        <f>[1]RAW_BankStatement!E15</f>
        <v>29220</v>
      </c>
      <c r="F15">
        <f>[1]RAW_BankStatement!F15</f>
        <v>144605</v>
      </c>
    </row>
    <row r="16" spans="1:6" ht="15" customHeight="1" x14ac:dyDescent="0.35">
      <c r="A16" t="str">
        <f>[1]RAW_BankStatement!A16</f>
        <v>BNK0015</v>
      </c>
      <c r="B16" s="2">
        <f>[1]RAW_BankStatement!B16</f>
        <v>45937</v>
      </c>
      <c r="C16" t="str">
        <f>[1]RAW_BankStatement!C16</f>
        <v>Bank Fee</v>
      </c>
      <c r="D16">
        <f>[1]RAW_BankStatement!D16</f>
        <v>0</v>
      </c>
      <c r="E16">
        <f>[1]RAW_BankStatement!E16</f>
        <v>20252</v>
      </c>
      <c r="F16">
        <f>[1]RAW_BankStatement!F16</f>
        <v>124353</v>
      </c>
    </row>
    <row r="17" spans="1:6" ht="15" customHeight="1" x14ac:dyDescent="0.35">
      <c r="A17" t="str">
        <f>[1]RAW_BankStatement!A17</f>
        <v>BNK0016</v>
      </c>
      <c r="B17" s="2">
        <f>[1]RAW_BankStatement!B17</f>
        <v>45710</v>
      </c>
      <c r="C17" t="str">
        <f>[1]RAW_BankStatement!C17</f>
        <v>Bank Fee</v>
      </c>
      <c r="D17">
        <f>[1]RAW_BankStatement!D17</f>
        <v>0</v>
      </c>
      <c r="E17">
        <f>[1]RAW_BankStatement!E17</f>
        <v>6247</v>
      </c>
      <c r="F17">
        <f>[1]RAW_BankStatement!F17</f>
        <v>118106</v>
      </c>
    </row>
    <row r="18" spans="1:6" ht="15" customHeight="1" x14ac:dyDescent="0.35">
      <c r="A18" t="str">
        <f>[1]RAW_BankStatement!A18</f>
        <v>BNK0017</v>
      </c>
      <c r="B18" s="2">
        <f>[1]RAW_BankStatement!B18</f>
        <v>45996</v>
      </c>
      <c r="C18" t="str">
        <f>[1]RAW_BankStatement!C18</f>
        <v>Bank Fee</v>
      </c>
      <c r="D18">
        <f>[1]RAW_BankStatement!D18</f>
        <v>0</v>
      </c>
      <c r="E18">
        <f>[1]RAW_BankStatement!E18</f>
        <v>20375</v>
      </c>
      <c r="F18">
        <f>[1]RAW_BankStatement!F18</f>
        <v>97731</v>
      </c>
    </row>
    <row r="19" spans="1:6" ht="15" customHeight="1" x14ac:dyDescent="0.35">
      <c r="A19" t="str">
        <f>[1]RAW_BankStatement!A19</f>
        <v>BNK0018</v>
      </c>
      <c r="B19" s="2">
        <f>[1]RAW_BankStatement!B19</f>
        <v>45886</v>
      </c>
      <c r="C19" t="str">
        <f>[1]RAW_BankStatement!C19</f>
        <v>Salary Payment</v>
      </c>
      <c r="D19">
        <f>[1]RAW_BankStatement!D19</f>
        <v>0</v>
      </c>
      <c r="E19">
        <f>[1]RAW_BankStatement!E19</f>
        <v>40493</v>
      </c>
      <c r="F19">
        <f>[1]RAW_BankStatement!F19</f>
        <v>57238</v>
      </c>
    </row>
    <row r="20" spans="1:6" ht="15" customHeight="1" x14ac:dyDescent="0.35">
      <c r="A20" t="str">
        <f>[1]RAW_BankStatement!A20</f>
        <v>BNK0019</v>
      </c>
      <c r="B20" s="2">
        <f>[1]RAW_BankStatement!B20</f>
        <v>45743</v>
      </c>
      <c r="C20" t="str">
        <f>[1]RAW_BankStatement!C20</f>
        <v>Salary Payment</v>
      </c>
      <c r="D20">
        <f>[1]RAW_BankStatement!D20</f>
        <v>0</v>
      </c>
      <c r="E20">
        <f>[1]RAW_BankStatement!E20</f>
        <v>46204</v>
      </c>
      <c r="F20">
        <f>[1]RAW_BankStatement!F20</f>
        <v>11034</v>
      </c>
    </row>
    <row r="21" spans="1:6" ht="15" customHeight="1" x14ac:dyDescent="0.35">
      <c r="A21" t="str">
        <f>[1]RAW_BankStatement!A21</f>
        <v>BNK0020</v>
      </c>
      <c r="B21" s="2">
        <f>[1]RAW_BankStatement!B21</f>
        <v>45837</v>
      </c>
      <c r="C21" t="str">
        <f>[1]RAW_BankStatement!C21</f>
        <v>Customer Receipt</v>
      </c>
      <c r="D21">
        <f>[1]RAW_BankStatement!D21</f>
        <v>30303</v>
      </c>
      <c r="E21">
        <f>[1]RAW_BankStatement!E21</f>
        <v>0</v>
      </c>
      <c r="F21">
        <f>[1]RAW_BankStatement!F21</f>
        <v>41337</v>
      </c>
    </row>
    <row r="22" spans="1:6" ht="15" customHeight="1" x14ac:dyDescent="0.35">
      <c r="A22" t="str">
        <f>[1]RAW_BankStatement!A22</f>
        <v>BNK0021</v>
      </c>
      <c r="B22" s="2">
        <f>[1]RAW_BankStatement!B22</f>
        <v>45838</v>
      </c>
      <c r="C22" t="str">
        <f>[1]RAW_BankStatement!C22</f>
        <v>Salary Payment</v>
      </c>
      <c r="D22">
        <f>[1]RAW_BankStatement!D22</f>
        <v>0</v>
      </c>
      <c r="E22">
        <f>[1]RAW_BankStatement!E22</f>
        <v>41294</v>
      </c>
      <c r="F22">
        <f>[1]RAW_BankStatement!F22</f>
        <v>43</v>
      </c>
    </row>
    <row r="23" spans="1:6" ht="15" customHeight="1" x14ac:dyDescent="0.35">
      <c r="A23" t="str">
        <f>[1]RAW_BankStatement!A23</f>
        <v>BNK0022</v>
      </c>
      <c r="B23" s="2">
        <f>[1]RAW_BankStatement!B23</f>
        <v>45798</v>
      </c>
      <c r="C23" t="str">
        <f>[1]RAW_BankStatement!C23</f>
        <v>Customer Receipt</v>
      </c>
      <c r="D23">
        <f>[1]RAW_BankStatement!D23</f>
        <v>42908</v>
      </c>
      <c r="E23">
        <f>[1]RAW_BankStatement!E23</f>
        <v>0</v>
      </c>
      <c r="F23">
        <f>[1]RAW_BankStatement!F23</f>
        <v>42951</v>
      </c>
    </row>
    <row r="24" spans="1:6" ht="15" customHeight="1" x14ac:dyDescent="0.35">
      <c r="A24" t="str">
        <f>[1]RAW_BankStatement!A24</f>
        <v>BNK0023</v>
      </c>
      <c r="B24" s="2">
        <f>[1]RAW_BankStatement!B24</f>
        <v>45696</v>
      </c>
      <c r="C24" t="str">
        <f>[1]RAW_BankStatement!C24</f>
        <v>Salary Payment</v>
      </c>
      <c r="D24">
        <f>[1]RAW_BankStatement!D24</f>
        <v>0</v>
      </c>
      <c r="E24">
        <f>[1]RAW_BankStatement!E24</f>
        <v>44986</v>
      </c>
      <c r="F24">
        <f>[1]RAW_BankStatement!F24</f>
        <v>-2035</v>
      </c>
    </row>
    <row r="25" spans="1:6" ht="15" customHeight="1" x14ac:dyDescent="0.35">
      <c r="A25" t="str">
        <f>[1]RAW_BankStatement!A25</f>
        <v>BNK0024</v>
      </c>
      <c r="B25" s="2">
        <f>[1]RAW_BankStatement!B25</f>
        <v>45844</v>
      </c>
      <c r="C25" t="str">
        <f>[1]RAW_BankStatement!C25</f>
        <v>Supplier Payment</v>
      </c>
      <c r="D25">
        <f>[1]RAW_BankStatement!D25</f>
        <v>0</v>
      </c>
      <c r="E25">
        <f>[1]RAW_BankStatement!E25</f>
        <v>34625</v>
      </c>
      <c r="F25">
        <f>[1]RAW_BankStatement!F25</f>
        <v>-36660</v>
      </c>
    </row>
    <row r="26" spans="1:6" ht="15" customHeight="1" x14ac:dyDescent="0.35">
      <c r="A26" t="str">
        <f>[1]RAW_BankStatement!A26</f>
        <v>BNK0025</v>
      </c>
      <c r="B26" s="2">
        <f>[1]RAW_BankStatement!B26</f>
        <v>45673</v>
      </c>
      <c r="C26" t="str">
        <f>[1]RAW_BankStatement!C26</f>
        <v>Salary Payment</v>
      </c>
      <c r="D26">
        <f>[1]RAW_BankStatement!D26</f>
        <v>0</v>
      </c>
      <c r="E26">
        <f>[1]RAW_BankStatement!E26</f>
        <v>10357</v>
      </c>
      <c r="F26">
        <f>[1]RAW_BankStatement!F26</f>
        <v>-47017</v>
      </c>
    </row>
    <row r="27" spans="1:6" ht="15" customHeight="1" x14ac:dyDescent="0.35">
      <c r="A27" t="str">
        <f>[1]RAW_BankStatement!A27</f>
        <v>BNK0026</v>
      </c>
      <c r="B27" s="2">
        <f>[1]RAW_BankStatement!B27</f>
        <v>45675</v>
      </c>
      <c r="C27" t="str">
        <f>[1]RAW_BankStatement!C27</f>
        <v>Customer Receipt</v>
      </c>
      <c r="D27">
        <f>[1]RAW_BankStatement!D27</f>
        <v>9272</v>
      </c>
      <c r="E27">
        <f>[1]RAW_BankStatement!E27</f>
        <v>0</v>
      </c>
      <c r="F27">
        <f>[1]RAW_BankStatement!F27</f>
        <v>-37745</v>
      </c>
    </row>
    <row r="28" spans="1:6" ht="15" customHeight="1" x14ac:dyDescent="0.35">
      <c r="A28" t="str">
        <f>[1]RAW_BankStatement!A28</f>
        <v>BNK0027</v>
      </c>
      <c r="B28" s="2">
        <f>[1]RAW_BankStatement!B28</f>
        <v>45778</v>
      </c>
      <c r="C28" t="str">
        <f>[1]RAW_BankStatement!C28</f>
        <v>Bank Fee</v>
      </c>
      <c r="D28">
        <f>[1]RAW_BankStatement!D28</f>
        <v>0</v>
      </c>
      <c r="E28">
        <f>[1]RAW_BankStatement!E28</f>
        <v>43281</v>
      </c>
      <c r="F28">
        <f>[1]RAW_BankStatement!F28</f>
        <v>-81026</v>
      </c>
    </row>
    <row r="29" spans="1:6" ht="15" customHeight="1" x14ac:dyDescent="0.35">
      <c r="A29" t="str">
        <f>[1]RAW_BankStatement!A29</f>
        <v>BNK0028</v>
      </c>
      <c r="B29" s="2">
        <f>[1]RAW_BankStatement!B29</f>
        <v>45843</v>
      </c>
      <c r="C29" t="str">
        <f>[1]RAW_BankStatement!C29</f>
        <v>Customer Receipt</v>
      </c>
      <c r="D29">
        <f>[1]RAW_BankStatement!D29</f>
        <v>26090</v>
      </c>
      <c r="E29">
        <f>[1]RAW_BankStatement!E29</f>
        <v>0</v>
      </c>
      <c r="F29">
        <f>[1]RAW_BankStatement!F29</f>
        <v>-54936</v>
      </c>
    </row>
    <row r="30" spans="1:6" ht="15" customHeight="1" x14ac:dyDescent="0.35">
      <c r="A30" t="str">
        <f>[1]RAW_BankStatement!A30</f>
        <v>BNK0029</v>
      </c>
      <c r="B30" s="2">
        <f>[1]RAW_BankStatement!B30</f>
        <v>45967</v>
      </c>
      <c r="C30" t="str">
        <f>[1]RAW_BankStatement!C30</f>
        <v>Salary Payment</v>
      </c>
      <c r="D30">
        <f>[1]RAW_BankStatement!D30</f>
        <v>0</v>
      </c>
      <c r="E30">
        <f>[1]RAW_BankStatement!E30</f>
        <v>11055</v>
      </c>
      <c r="F30">
        <f>[1]RAW_BankStatement!F30</f>
        <v>-65991</v>
      </c>
    </row>
    <row r="31" spans="1:6" ht="15" customHeight="1" x14ac:dyDescent="0.35">
      <c r="A31" t="str">
        <f>[1]RAW_BankStatement!A31</f>
        <v>BNK0030</v>
      </c>
      <c r="B31" s="2">
        <f>[1]RAW_BankStatement!B31</f>
        <v>45847</v>
      </c>
      <c r="C31" t="str">
        <f>[1]RAW_BankStatement!C31</f>
        <v>Salary Payment</v>
      </c>
      <c r="D31">
        <f>[1]RAW_BankStatement!D31</f>
        <v>0</v>
      </c>
      <c r="E31">
        <f>[1]RAW_BankStatement!E31</f>
        <v>25380</v>
      </c>
      <c r="F31">
        <f>[1]RAW_BankStatement!F31</f>
        <v>-91371</v>
      </c>
    </row>
    <row r="32" spans="1:6" ht="15" customHeight="1" x14ac:dyDescent="0.35">
      <c r="A32" t="str">
        <f>[1]RAW_BankStatement!A32</f>
        <v>BNK0031</v>
      </c>
      <c r="B32" s="2">
        <f>[1]RAW_BankStatement!B32</f>
        <v>45697</v>
      </c>
      <c r="C32" t="str">
        <f>[1]RAW_BankStatement!C32</f>
        <v>Supplier Payment</v>
      </c>
      <c r="D32">
        <f>[1]RAW_BankStatement!D32</f>
        <v>0</v>
      </c>
      <c r="E32">
        <f>[1]RAW_BankStatement!E32</f>
        <v>38612</v>
      </c>
      <c r="F32">
        <f>[1]RAW_BankStatement!F32</f>
        <v>-129983</v>
      </c>
    </row>
    <row r="33" spans="1:6" ht="15" customHeight="1" x14ac:dyDescent="0.35">
      <c r="A33" t="str">
        <f>[1]RAW_BankStatement!A33</f>
        <v>BNK0032</v>
      </c>
      <c r="B33" s="2">
        <f>[1]RAW_BankStatement!B33</f>
        <v>45929</v>
      </c>
      <c r="C33" t="str">
        <f>[1]RAW_BankStatement!C33</f>
        <v>Salary Payment</v>
      </c>
      <c r="D33">
        <f>[1]RAW_BankStatement!D33</f>
        <v>0</v>
      </c>
      <c r="E33">
        <f>[1]RAW_BankStatement!E33</f>
        <v>25048</v>
      </c>
      <c r="F33">
        <f>[1]RAW_BankStatement!F33</f>
        <v>-155031</v>
      </c>
    </row>
    <row r="34" spans="1:6" ht="15" customHeight="1" x14ac:dyDescent="0.35">
      <c r="A34" t="str">
        <f>[1]RAW_BankStatement!A34</f>
        <v>BNK0033</v>
      </c>
      <c r="B34" s="2">
        <f>[1]RAW_BankStatement!B34</f>
        <v>45818</v>
      </c>
      <c r="C34" t="str">
        <f>[1]RAW_BankStatement!C34</f>
        <v>Bank Fee</v>
      </c>
      <c r="D34">
        <f>[1]RAW_BankStatement!D34</f>
        <v>0</v>
      </c>
      <c r="E34">
        <f>[1]RAW_BankStatement!E34</f>
        <v>43569</v>
      </c>
      <c r="F34">
        <f>[1]RAW_BankStatement!F34</f>
        <v>-198600</v>
      </c>
    </row>
    <row r="35" spans="1:6" ht="15" customHeight="1" x14ac:dyDescent="0.35">
      <c r="A35" t="str">
        <f>[1]RAW_BankStatement!A35</f>
        <v>BNK0034</v>
      </c>
      <c r="B35" s="2">
        <f>[1]RAW_BankStatement!B35</f>
        <v>45785</v>
      </c>
      <c r="C35" t="str">
        <f>[1]RAW_BankStatement!C35</f>
        <v>Customer Receipt</v>
      </c>
      <c r="D35">
        <f>[1]RAW_BankStatement!D35</f>
        <v>8434</v>
      </c>
      <c r="E35">
        <f>[1]RAW_BankStatement!E35</f>
        <v>0</v>
      </c>
      <c r="F35">
        <f>[1]RAW_BankStatement!F35</f>
        <v>-190166</v>
      </c>
    </row>
    <row r="36" spans="1:6" ht="15" customHeight="1" x14ac:dyDescent="0.35">
      <c r="A36" t="str">
        <f>[1]RAW_BankStatement!A36</f>
        <v>BNK0035</v>
      </c>
      <c r="B36" s="2">
        <f>[1]RAW_BankStatement!B36</f>
        <v>45753</v>
      </c>
      <c r="C36" t="str">
        <f>[1]RAW_BankStatement!C36</f>
        <v>Salary Payment</v>
      </c>
      <c r="D36">
        <f>[1]RAW_BankStatement!D36</f>
        <v>0</v>
      </c>
      <c r="E36">
        <f>[1]RAW_BankStatement!E36</f>
        <v>33705</v>
      </c>
      <c r="F36">
        <f>[1]RAW_BankStatement!F36</f>
        <v>-223871</v>
      </c>
    </row>
    <row r="37" spans="1:6" ht="15" customHeight="1" x14ac:dyDescent="0.35">
      <c r="A37" t="str">
        <f>[1]RAW_BankStatement!A37</f>
        <v>BNK0036</v>
      </c>
      <c r="B37" s="2">
        <f>[1]RAW_BankStatement!B37</f>
        <v>45945</v>
      </c>
      <c r="C37" t="str">
        <f>[1]RAW_BankStatement!C37</f>
        <v>Bank Fee</v>
      </c>
      <c r="D37">
        <f>[1]RAW_BankStatement!D37</f>
        <v>0</v>
      </c>
      <c r="E37">
        <f>[1]RAW_BankStatement!E37</f>
        <v>8717</v>
      </c>
      <c r="F37">
        <f>[1]RAW_BankStatement!F37</f>
        <v>-232588</v>
      </c>
    </row>
    <row r="38" spans="1:6" ht="15" customHeight="1" x14ac:dyDescent="0.35">
      <c r="A38" t="str">
        <f>[1]RAW_BankStatement!A38</f>
        <v>BNK0037</v>
      </c>
      <c r="B38" s="2">
        <f>[1]RAW_BankStatement!B38</f>
        <v>45791</v>
      </c>
      <c r="C38" t="str">
        <f>[1]RAW_BankStatement!C38</f>
        <v>Salary Payment</v>
      </c>
      <c r="D38">
        <f>[1]RAW_BankStatement!D38</f>
        <v>0</v>
      </c>
      <c r="E38">
        <f>[1]RAW_BankStatement!E38</f>
        <v>47139</v>
      </c>
      <c r="F38">
        <f>[1]RAW_BankStatement!F38</f>
        <v>-279727</v>
      </c>
    </row>
    <row r="39" spans="1:6" ht="15" customHeight="1" x14ac:dyDescent="0.35">
      <c r="A39" t="str">
        <f>[1]RAW_BankStatement!A39</f>
        <v>BNK0038</v>
      </c>
      <c r="B39" s="2">
        <f>[1]RAW_BankStatement!B39</f>
        <v>45767</v>
      </c>
      <c r="C39" t="str">
        <f>[1]RAW_BankStatement!C39</f>
        <v>Bank Fee</v>
      </c>
      <c r="D39">
        <f>[1]RAW_BankStatement!D39</f>
        <v>0</v>
      </c>
      <c r="E39">
        <f>[1]RAW_BankStatement!E39</f>
        <v>41099</v>
      </c>
      <c r="F39">
        <f>[1]RAW_BankStatement!F39</f>
        <v>-320826</v>
      </c>
    </row>
    <row r="40" spans="1:6" ht="15" customHeight="1" x14ac:dyDescent="0.35">
      <c r="A40" t="str">
        <f>[1]RAW_BankStatement!A40</f>
        <v>BNK0039</v>
      </c>
      <c r="B40" s="2">
        <f>[1]RAW_BankStatement!B40</f>
        <v>46013</v>
      </c>
      <c r="C40" t="str">
        <f>[1]RAW_BankStatement!C40</f>
        <v>Supplier Payment</v>
      </c>
      <c r="D40">
        <f>[1]RAW_BankStatement!D40</f>
        <v>0</v>
      </c>
      <c r="E40">
        <f>[1]RAW_BankStatement!E40</f>
        <v>33191</v>
      </c>
      <c r="F40">
        <f>[1]RAW_BankStatement!F40</f>
        <v>-354017</v>
      </c>
    </row>
    <row r="41" spans="1:6" ht="15" customHeight="1" x14ac:dyDescent="0.35">
      <c r="A41" t="str">
        <f>[1]RAW_BankStatement!A41</f>
        <v>BNK0040</v>
      </c>
      <c r="B41" s="2">
        <f>[1]RAW_BankStatement!B41</f>
        <v>45720</v>
      </c>
      <c r="C41" t="str">
        <f>[1]RAW_BankStatement!C41</f>
        <v>Customer Receipt</v>
      </c>
      <c r="D41">
        <f>[1]RAW_BankStatement!D41</f>
        <v>9895</v>
      </c>
      <c r="E41">
        <f>[1]RAW_BankStatement!E41</f>
        <v>0</v>
      </c>
      <c r="F41">
        <f>[1]RAW_BankStatement!F41</f>
        <v>-344122</v>
      </c>
    </row>
    <row r="42" spans="1:6" ht="15" customHeight="1" x14ac:dyDescent="0.35">
      <c r="A42" t="str">
        <f>[1]RAW_BankStatement!A42</f>
        <v>BNK0041</v>
      </c>
      <c r="B42" s="2">
        <f>[1]RAW_BankStatement!B42</f>
        <v>45889</v>
      </c>
      <c r="C42" t="str">
        <f>[1]RAW_BankStatement!C42</f>
        <v>Salary Payment</v>
      </c>
      <c r="D42">
        <f>[1]RAW_BankStatement!D42</f>
        <v>0</v>
      </c>
      <c r="E42">
        <f>[1]RAW_BankStatement!E42</f>
        <v>12315</v>
      </c>
      <c r="F42">
        <f>[1]RAW_BankStatement!F42</f>
        <v>-356437</v>
      </c>
    </row>
    <row r="43" spans="1:6" ht="15" customHeight="1" x14ac:dyDescent="0.35">
      <c r="A43" t="str">
        <f>[1]RAW_BankStatement!A43</f>
        <v>BNK0042</v>
      </c>
      <c r="B43" s="2">
        <f>[1]RAW_BankStatement!B43</f>
        <v>45702</v>
      </c>
      <c r="C43" t="str">
        <f>[1]RAW_BankStatement!C43</f>
        <v>Bank Fee</v>
      </c>
      <c r="D43">
        <f>[1]RAW_BankStatement!D43</f>
        <v>0</v>
      </c>
      <c r="E43">
        <f>[1]RAW_BankStatement!E43</f>
        <v>45690</v>
      </c>
      <c r="F43">
        <f>[1]RAW_BankStatement!F43</f>
        <v>-402127</v>
      </c>
    </row>
    <row r="44" spans="1:6" ht="15" customHeight="1" x14ac:dyDescent="0.35">
      <c r="A44" t="str">
        <f>[1]RAW_BankStatement!A44</f>
        <v>BNK0043</v>
      </c>
      <c r="B44" s="2">
        <f>[1]RAW_BankStatement!B44</f>
        <v>45999</v>
      </c>
      <c r="C44" t="str">
        <f>[1]RAW_BankStatement!C44</f>
        <v>Customer Receipt</v>
      </c>
      <c r="D44">
        <f>[1]RAW_BankStatement!D44</f>
        <v>23768</v>
      </c>
      <c r="E44">
        <f>[1]RAW_BankStatement!E44</f>
        <v>0</v>
      </c>
      <c r="F44">
        <f>[1]RAW_BankStatement!F44</f>
        <v>-378359</v>
      </c>
    </row>
    <row r="45" spans="1:6" ht="15" customHeight="1" x14ac:dyDescent="0.35">
      <c r="A45" t="str">
        <f>[1]RAW_BankStatement!A45</f>
        <v>BNK0044</v>
      </c>
      <c r="B45" s="2">
        <f>[1]RAW_BankStatement!B45</f>
        <v>45939</v>
      </c>
      <c r="C45" t="str">
        <f>[1]RAW_BankStatement!C45</f>
        <v>Bank Fee</v>
      </c>
      <c r="D45">
        <f>[1]RAW_BankStatement!D45</f>
        <v>0</v>
      </c>
      <c r="E45">
        <f>[1]RAW_BankStatement!E45</f>
        <v>36531</v>
      </c>
      <c r="F45">
        <f>[1]RAW_BankStatement!F45</f>
        <v>-414890</v>
      </c>
    </row>
    <row r="46" spans="1:6" ht="15" customHeight="1" x14ac:dyDescent="0.35">
      <c r="A46" t="str">
        <f>[1]RAW_BankStatement!A46</f>
        <v>BNK0045</v>
      </c>
      <c r="B46" s="2">
        <f>[1]RAW_BankStatement!B46</f>
        <v>45811</v>
      </c>
      <c r="C46" t="str">
        <f>[1]RAW_BankStatement!C46</f>
        <v>Supplier Payment</v>
      </c>
      <c r="D46">
        <f>[1]RAW_BankStatement!D46</f>
        <v>0</v>
      </c>
      <c r="E46">
        <f>[1]RAW_BankStatement!E46</f>
        <v>11322</v>
      </c>
      <c r="F46">
        <f>[1]RAW_BankStatement!F46</f>
        <v>-426212</v>
      </c>
    </row>
    <row r="47" spans="1:6" ht="15" customHeight="1" x14ac:dyDescent="0.35">
      <c r="A47" t="str">
        <f>[1]RAW_BankStatement!A47</f>
        <v>BNK0046</v>
      </c>
      <c r="B47" s="2">
        <f>[1]RAW_BankStatement!B47</f>
        <v>45843</v>
      </c>
      <c r="C47" t="str">
        <f>[1]RAW_BankStatement!C47</f>
        <v>Supplier Payment</v>
      </c>
      <c r="D47">
        <f>[1]RAW_BankStatement!D47</f>
        <v>0</v>
      </c>
      <c r="E47">
        <f>[1]RAW_BankStatement!E47</f>
        <v>34341</v>
      </c>
      <c r="F47">
        <f>[1]RAW_BankStatement!F47</f>
        <v>-460553</v>
      </c>
    </row>
    <row r="48" spans="1:6" ht="15" customHeight="1" x14ac:dyDescent="0.35">
      <c r="A48" t="str">
        <f>[1]RAW_BankStatement!A48</f>
        <v>BNK0047</v>
      </c>
      <c r="B48" s="2">
        <f>[1]RAW_BankStatement!B48</f>
        <v>45720</v>
      </c>
      <c r="C48" t="str">
        <f>[1]RAW_BankStatement!C48</f>
        <v>Supplier Payment</v>
      </c>
      <c r="D48">
        <f>[1]RAW_BankStatement!D48</f>
        <v>0</v>
      </c>
      <c r="E48">
        <f>[1]RAW_BankStatement!E48</f>
        <v>14171</v>
      </c>
      <c r="F48">
        <f>[1]RAW_BankStatement!F48</f>
        <v>-474724</v>
      </c>
    </row>
    <row r="49" spans="1:6" ht="15" customHeight="1" x14ac:dyDescent="0.35">
      <c r="A49" t="str">
        <f>[1]RAW_BankStatement!A49</f>
        <v>BNK0048</v>
      </c>
      <c r="B49" s="2">
        <f>[1]RAW_BankStatement!B49</f>
        <v>45779</v>
      </c>
      <c r="C49" t="str">
        <f>[1]RAW_BankStatement!C49</f>
        <v>Customer Receipt</v>
      </c>
      <c r="D49">
        <f>[1]RAW_BankStatement!D49</f>
        <v>33376</v>
      </c>
      <c r="E49">
        <f>[1]RAW_BankStatement!E49</f>
        <v>0</v>
      </c>
      <c r="F49">
        <f>[1]RAW_BankStatement!F49</f>
        <v>-441348</v>
      </c>
    </row>
    <row r="50" spans="1:6" ht="15" customHeight="1" x14ac:dyDescent="0.35">
      <c r="A50" t="str">
        <f>[1]RAW_BankStatement!A50</f>
        <v>BNK0049</v>
      </c>
      <c r="B50" s="2">
        <f>[1]RAW_BankStatement!B50</f>
        <v>45842</v>
      </c>
      <c r="C50" t="str">
        <f>[1]RAW_BankStatement!C50</f>
        <v>Bank Fee</v>
      </c>
      <c r="D50">
        <f>[1]RAW_BankStatement!D50</f>
        <v>0</v>
      </c>
      <c r="E50">
        <f>[1]RAW_BankStatement!E50</f>
        <v>37308</v>
      </c>
      <c r="F50">
        <f>[1]RAW_BankStatement!F50</f>
        <v>-478656</v>
      </c>
    </row>
    <row r="51" spans="1:6" ht="15" customHeight="1" x14ac:dyDescent="0.35">
      <c r="A51" t="str">
        <f>[1]RAW_BankStatement!A51</f>
        <v>BNK0050</v>
      </c>
      <c r="B51" s="2">
        <f>[1]RAW_BankStatement!B51</f>
        <v>45897</v>
      </c>
      <c r="C51" t="str">
        <f>[1]RAW_BankStatement!C51</f>
        <v>Supplier Payment</v>
      </c>
      <c r="D51">
        <f>[1]RAW_BankStatement!D51</f>
        <v>0</v>
      </c>
      <c r="E51">
        <f>[1]RAW_BankStatement!E51</f>
        <v>37152</v>
      </c>
      <c r="F51">
        <f>[1]RAW_BankStatement!F51</f>
        <v>-515808</v>
      </c>
    </row>
    <row r="52" spans="1:6" ht="15" customHeight="1" x14ac:dyDescent="0.35">
      <c r="A52" t="str">
        <f>[1]RAW_BankStatement!A52</f>
        <v>BNK0051</v>
      </c>
      <c r="B52" s="2">
        <f>[1]RAW_BankStatement!B52</f>
        <v>45971</v>
      </c>
      <c r="C52" t="str">
        <f>[1]RAW_BankStatement!C52</f>
        <v>Customer Receipt</v>
      </c>
      <c r="D52">
        <f>[1]RAW_BankStatement!D52</f>
        <v>6650</v>
      </c>
      <c r="E52">
        <f>[1]RAW_BankStatement!E52</f>
        <v>0</v>
      </c>
      <c r="F52">
        <f>[1]RAW_BankStatement!F52</f>
        <v>-509158</v>
      </c>
    </row>
    <row r="53" spans="1:6" ht="15" customHeight="1" x14ac:dyDescent="0.35">
      <c r="A53" t="str">
        <f>[1]RAW_BankStatement!A53</f>
        <v>BNK0052</v>
      </c>
      <c r="B53" s="2">
        <f>[1]RAW_BankStatement!B53</f>
        <v>45816</v>
      </c>
      <c r="C53" t="str">
        <f>[1]RAW_BankStatement!C53</f>
        <v>Salary Payment</v>
      </c>
      <c r="D53">
        <f>[1]RAW_BankStatement!D53</f>
        <v>0</v>
      </c>
      <c r="E53">
        <f>[1]RAW_BankStatement!E53</f>
        <v>27093</v>
      </c>
      <c r="F53">
        <f>[1]RAW_BankStatement!F53</f>
        <v>-536251</v>
      </c>
    </row>
    <row r="54" spans="1:6" ht="15" customHeight="1" x14ac:dyDescent="0.35">
      <c r="A54" t="str">
        <f>[1]RAW_BankStatement!A54</f>
        <v>BNK0053</v>
      </c>
      <c r="B54" s="2">
        <f>[1]RAW_BankStatement!B54</f>
        <v>45927</v>
      </c>
      <c r="C54" t="str">
        <f>[1]RAW_BankStatement!C54</f>
        <v>Salary Payment</v>
      </c>
      <c r="D54">
        <f>[1]RAW_BankStatement!D54</f>
        <v>0</v>
      </c>
      <c r="E54">
        <f>[1]RAW_BankStatement!E54</f>
        <v>27921</v>
      </c>
      <c r="F54">
        <f>[1]RAW_BankStatement!F54</f>
        <v>-564172</v>
      </c>
    </row>
    <row r="55" spans="1:6" ht="15" customHeight="1" x14ac:dyDescent="0.35">
      <c r="A55" t="str">
        <f>[1]RAW_BankStatement!A55</f>
        <v>BNK0054</v>
      </c>
      <c r="B55" s="2">
        <f>[1]RAW_BankStatement!B55</f>
        <v>45952</v>
      </c>
      <c r="C55" t="str">
        <f>[1]RAW_BankStatement!C55</f>
        <v>Supplier Payment</v>
      </c>
      <c r="D55">
        <f>[1]RAW_BankStatement!D55</f>
        <v>0</v>
      </c>
      <c r="E55">
        <f>[1]RAW_BankStatement!E55</f>
        <v>5833</v>
      </c>
      <c r="F55">
        <f>[1]RAW_BankStatement!F55</f>
        <v>-570005</v>
      </c>
    </row>
    <row r="56" spans="1:6" ht="15" customHeight="1" x14ac:dyDescent="0.35">
      <c r="A56" t="str">
        <f>[1]RAW_BankStatement!A56</f>
        <v>BNK0055</v>
      </c>
      <c r="B56" s="2">
        <f>[1]RAW_BankStatement!B56</f>
        <v>45820</v>
      </c>
      <c r="C56" t="str">
        <f>[1]RAW_BankStatement!C56</f>
        <v>Customer Receipt</v>
      </c>
      <c r="D56">
        <f>[1]RAW_BankStatement!D56</f>
        <v>43096</v>
      </c>
      <c r="E56">
        <f>[1]RAW_BankStatement!E56</f>
        <v>0</v>
      </c>
      <c r="F56">
        <f>[1]RAW_BankStatement!F56</f>
        <v>-526909</v>
      </c>
    </row>
    <row r="57" spans="1:6" ht="15" customHeight="1" x14ac:dyDescent="0.35">
      <c r="A57" t="str">
        <f>[1]RAW_BankStatement!A57</f>
        <v>BNK0056</v>
      </c>
      <c r="B57" s="2">
        <f>[1]RAW_BankStatement!B57</f>
        <v>45888</v>
      </c>
      <c r="C57" t="str">
        <f>[1]RAW_BankStatement!C57</f>
        <v>Bank Fee</v>
      </c>
      <c r="D57">
        <f>[1]RAW_BankStatement!D57</f>
        <v>0</v>
      </c>
      <c r="E57">
        <f>[1]RAW_BankStatement!E57</f>
        <v>31528</v>
      </c>
      <c r="F57">
        <f>[1]RAW_BankStatement!F57</f>
        <v>-558437</v>
      </c>
    </row>
    <row r="58" spans="1:6" ht="15" customHeight="1" x14ac:dyDescent="0.35">
      <c r="A58" t="str">
        <f>[1]RAW_BankStatement!A58</f>
        <v>BNK0057</v>
      </c>
      <c r="B58" s="2">
        <f>[1]RAW_BankStatement!B58</f>
        <v>45723</v>
      </c>
      <c r="C58" t="str">
        <f>[1]RAW_BankStatement!C58</f>
        <v>Supplier Payment</v>
      </c>
      <c r="D58">
        <f>[1]RAW_BankStatement!D58</f>
        <v>0</v>
      </c>
      <c r="E58">
        <f>[1]RAW_BankStatement!E58</f>
        <v>37130</v>
      </c>
      <c r="F58">
        <f>[1]RAW_BankStatement!F58</f>
        <v>-595567</v>
      </c>
    </row>
    <row r="59" spans="1:6" ht="15" customHeight="1" x14ac:dyDescent="0.35">
      <c r="A59" t="str">
        <f>[1]RAW_BankStatement!A59</f>
        <v>BNK0058</v>
      </c>
      <c r="B59" s="2">
        <f>[1]RAW_BankStatement!B59</f>
        <v>45724</v>
      </c>
      <c r="C59" t="str">
        <f>[1]RAW_BankStatement!C59</f>
        <v>Customer Receipt</v>
      </c>
      <c r="D59">
        <f>[1]RAW_BankStatement!D59</f>
        <v>29352</v>
      </c>
      <c r="E59">
        <f>[1]RAW_BankStatement!E59</f>
        <v>0</v>
      </c>
      <c r="F59">
        <f>[1]RAW_BankStatement!F59</f>
        <v>-566215</v>
      </c>
    </row>
    <row r="60" spans="1:6" ht="15" customHeight="1" x14ac:dyDescent="0.35">
      <c r="A60" t="str">
        <f>[1]RAW_BankStatement!A60</f>
        <v>BNK0059</v>
      </c>
      <c r="B60" s="2">
        <f>[1]RAW_BankStatement!B60</f>
        <v>45721</v>
      </c>
      <c r="C60" t="str">
        <f>[1]RAW_BankStatement!C60</f>
        <v>Supplier Payment</v>
      </c>
      <c r="D60">
        <f>[1]RAW_BankStatement!D60</f>
        <v>0</v>
      </c>
      <c r="E60">
        <f>[1]RAW_BankStatement!E60</f>
        <v>34954</v>
      </c>
      <c r="F60">
        <f>[1]RAW_BankStatement!F60</f>
        <v>-601169</v>
      </c>
    </row>
    <row r="61" spans="1:6" ht="15" customHeight="1" x14ac:dyDescent="0.35">
      <c r="A61" t="str">
        <f>[1]RAW_BankStatement!A61</f>
        <v>BNK0060</v>
      </c>
      <c r="B61" s="2">
        <f>[1]RAW_BankStatement!B61</f>
        <v>45813</v>
      </c>
      <c r="C61" t="str">
        <f>[1]RAW_BankStatement!C61</f>
        <v>Supplier Payment</v>
      </c>
      <c r="D61">
        <f>[1]RAW_BankStatement!D61</f>
        <v>0</v>
      </c>
      <c r="E61">
        <f>[1]RAW_BankStatement!E61</f>
        <v>11790</v>
      </c>
      <c r="F61">
        <f>[1]RAW_BankStatement!F61</f>
        <v>-612959</v>
      </c>
    </row>
    <row r="62" spans="1:6" ht="15" customHeight="1" x14ac:dyDescent="0.35">
      <c r="A62" t="str">
        <f>[1]RAW_BankStatement!A62</f>
        <v>BNK0061</v>
      </c>
      <c r="B62" s="2">
        <f>[1]RAW_BankStatement!B62</f>
        <v>45823</v>
      </c>
      <c r="C62" t="str">
        <f>[1]RAW_BankStatement!C62</f>
        <v>Supplier Payment</v>
      </c>
      <c r="D62">
        <f>[1]RAW_BankStatement!D62</f>
        <v>0</v>
      </c>
      <c r="E62">
        <f>[1]RAW_BankStatement!E62</f>
        <v>47486</v>
      </c>
      <c r="F62">
        <f>[1]RAW_BankStatement!F62</f>
        <v>-660445</v>
      </c>
    </row>
    <row r="63" spans="1:6" ht="15" customHeight="1" x14ac:dyDescent="0.35">
      <c r="A63" t="str">
        <f>[1]RAW_BankStatement!A63</f>
        <v>BNK0062</v>
      </c>
      <c r="B63" s="2">
        <f>[1]RAW_BankStatement!B63</f>
        <v>45835</v>
      </c>
      <c r="C63" t="str">
        <f>[1]RAW_BankStatement!C63</f>
        <v>Bank Fee</v>
      </c>
      <c r="D63">
        <f>[1]RAW_BankStatement!D63</f>
        <v>0</v>
      </c>
      <c r="E63">
        <f>[1]RAW_BankStatement!E63</f>
        <v>35006</v>
      </c>
      <c r="F63">
        <f>[1]RAW_BankStatement!F63</f>
        <v>-695451</v>
      </c>
    </row>
    <row r="64" spans="1:6" ht="15" customHeight="1" x14ac:dyDescent="0.35">
      <c r="A64" t="str">
        <f>[1]RAW_BankStatement!A64</f>
        <v>BNK0063</v>
      </c>
      <c r="B64" s="2">
        <f>[1]RAW_BankStatement!B64</f>
        <v>45698</v>
      </c>
      <c r="C64" t="str">
        <f>[1]RAW_BankStatement!C64</f>
        <v>Supplier Payment</v>
      </c>
      <c r="D64">
        <f>[1]RAW_BankStatement!D64</f>
        <v>0</v>
      </c>
      <c r="E64">
        <f>[1]RAW_BankStatement!E64</f>
        <v>17423</v>
      </c>
      <c r="F64">
        <f>[1]RAW_BankStatement!F64</f>
        <v>-712874</v>
      </c>
    </row>
    <row r="65" spans="1:6" ht="15" customHeight="1" x14ac:dyDescent="0.35">
      <c r="A65" t="str">
        <f>[1]RAW_BankStatement!A65</f>
        <v>BNK0064</v>
      </c>
      <c r="B65" s="2">
        <f>[1]RAW_BankStatement!B65</f>
        <v>45983</v>
      </c>
      <c r="C65" t="str">
        <f>[1]RAW_BankStatement!C65</f>
        <v>Bank Fee</v>
      </c>
      <c r="D65">
        <f>[1]RAW_BankStatement!D65</f>
        <v>0</v>
      </c>
      <c r="E65">
        <f>[1]RAW_BankStatement!E65</f>
        <v>37099</v>
      </c>
      <c r="F65">
        <f>[1]RAW_BankStatement!F65</f>
        <v>-749973</v>
      </c>
    </row>
    <row r="66" spans="1:6" ht="15" customHeight="1" x14ac:dyDescent="0.35">
      <c r="A66" t="str">
        <f>[1]RAW_BankStatement!A66</f>
        <v>BNK0065</v>
      </c>
      <c r="B66" s="2">
        <f>[1]RAW_BankStatement!B66</f>
        <v>45722</v>
      </c>
      <c r="C66" t="str">
        <f>[1]RAW_BankStatement!C66</f>
        <v>Bank Fee</v>
      </c>
      <c r="D66">
        <f>[1]RAW_BankStatement!D66</f>
        <v>0</v>
      </c>
      <c r="E66">
        <f>[1]RAW_BankStatement!E66</f>
        <v>41961</v>
      </c>
      <c r="F66">
        <f>[1]RAW_BankStatement!F66</f>
        <v>-791934</v>
      </c>
    </row>
    <row r="67" spans="1:6" ht="15" customHeight="1" x14ac:dyDescent="0.35">
      <c r="A67" t="str">
        <f>[1]RAW_BankStatement!A67</f>
        <v>BNK0066</v>
      </c>
      <c r="B67" s="2">
        <f>[1]RAW_BankStatement!B67</f>
        <v>45972</v>
      </c>
      <c r="C67" t="str">
        <f>[1]RAW_BankStatement!C67</f>
        <v>Customer Receipt</v>
      </c>
      <c r="D67">
        <f>[1]RAW_BankStatement!D67</f>
        <v>35962</v>
      </c>
      <c r="E67">
        <f>[1]RAW_BankStatement!E67</f>
        <v>0</v>
      </c>
      <c r="F67">
        <f>[1]RAW_BankStatement!F67</f>
        <v>-755972</v>
      </c>
    </row>
    <row r="68" spans="1:6" ht="15" customHeight="1" x14ac:dyDescent="0.35">
      <c r="A68" t="str">
        <f>[1]RAW_BankStatement!A68</f>
        <v>BNK0067</v>
      </c>
      <c r="B68" s="2">
        <f>[1]RAW_BankStatement!B68</f>
        <v>45915</v>
      </c>
      <c r="C68" t="str">
        <f>[1]RAW_BankStatement!C68</f>
        <v>Supplier Payment</v>
      </c>
      <c r="D68">
        <f>[1]RAW_BankStatement!D68</f>
        <v>0</v>
      </c>
      <c r="E68">
        <f>[1]RAW_BankStatement!E68</f>
        <v>43007</v>
      </c>
      <c r="F68">
        <f>[1]RAW_BankStatement!F68</f>
        <v>-798979</v>
      </c>
    </row>
    <row r="69" spans="1:6" ht="15" customHeight="1" x14ac:dyDescent="0.35">
      <c r="A69" t="str">
        <f>[1]RAW_BankStatement!A69</f>
        <v>BNK0068</v>
      </c>
      <c r="B69" s="2">
        <f>[1]RAW_BankStatement!B69</f>
        <v>45961</v>
      </c>
      <c r="C69" t="str">
        <f>[1]RAW_BankStatement!C69</f>
        <v>Supplier Payment</v>
      </c>
      <c r="D69">
        <f>[1]RAW_BankStatement!D69</f>
        <v>0</v>
      </c>
      <c r="E69">
        <f>[1]RAW_BankStatement!E69</f>
        <v>39053</v>
      </c>
      <c r="F69">
        <f>[1]RAW_BankStatement!F69</f>
        <v>-838032</v>
      </c>
    </row>
    <row r="70" spans="1:6" ht="15" customHeight="1" x14ac:dyDescent="0.35">
      <c r="A70" t="str">
        <f>[1]RAW_BankStatement!A70</f>
        <v>BNK0069</v>
      </c>
      <c r="B70" s="2">
        <f>[1]RAW_BankStatement!B70</f>
        <v>45745</v>
      </c>
      <c r="C70" t="str">
        <f>[1]RAW_BankStatement!C70</f>
        <v>Bank Fee</v>
      </c>
      <c r="D70">
        <f>[1]RAW_BankStatement!D70</f>
        <v>0</v>
      </c>
      <c r="E70">
        <f>[1]RAW_BankStatement!E70</f>
        <v>44170</v>
      </c>
      <c r="F70">
        <f>[1]RAW_BankStatement!F70</f>
        <v>-882202</v>
      </c>
    </row>
    <row r="71" spans="1:6" ht="15" customHeight="1" x14ac:dyDescent="0.35">
      <c r="A71" t="str">
        <f>[1]RAW_BankStatement!A71</f>
        <v>BNK0070</v>
      </c>
      <c r="B71" s="2">
        <f>[1]RAW_BankStatement!B71</f>
        <v>45946</v>
      </c>
      <c r="C71" t="str">
        <f>[1]RAW_BankStatement!C71</f>
        <v>Customer Receipt</v>
      </c>
      <c r="D71">
        <f>[1]RAW_BankStatement!D71</f>
        <v>3699</v>
      </c>
      <c r="E71">
        <f>[1]RAW_BankStatement!E71</f>
        <v>0</v>
      </c>
      <c r="F71">
        <f>[1]RAW_BankStatement!F71</f>
        <v>-878503</v>
      </c>
    </row>
    <row r="72" spans="1:6" ht="15" customHeight="1" x14ac:dyDescent="0.35">
      <c r="A72" t="str">
        <f>[1]RAW_BankStatement!A72</f>
        <v>BNK0071</v>
      </c>
      <c r="B72" s="2">
        <f>[1]RAW_BankStatement!B72</f>
        <v>45699</v>
      </c>
      <c r="C72" t="str">
        <f>[1]RAW_BankStatement!C72</f>
        <v>Bank Fee</v>
      </c>
      <c r="D72">
        <f>[1]RAW_BankStatement!D72</f>
        <v>0</v>
      </c>
      <c r="E72">
        <f>[1]RAW_BankStatement!E72</f>
        <v>3979</v>
      </c>
      <c r="F72">
        <f>[1]RAW_BankStatement!F72</f>
        <v>-882482</v>
      </c>
    </row>
    <row r="73" spans="1:6" ht="15" customHeight="1" x14ac:dyDescent="0.35">
      <c r="A73" t="str">
        <f>[1]RAW_BankStatement!A73</f>
        <v>BNK0072</v>
      </c>
      <c r="B73" s="2">
        <f>[1]RAW_BankStatement!B73</f>
        <v>45991</v>
      </c>
      <c r="C73" t="str">
        <f>[1]RAW_BankStatement!C73</f>
        <v>Salary Payment</v>
      </c>
      <c r="D73">
        <f>[1]RAW_BankStatement!D73</f>
        <v>0</v>
      </c>
      <c r="E73">
        <f>[1]RAW_BankStatement!E73</f>
        <v>14815</v>
      </c>
      <c r="F73">
        <f>[1]RAW_BankStatement!F73</f>
        <v>-897297</v>
      </c>
    </row>
    <row r="74" spans="1:6" ht="15" customHeight="1" x14ac:dyDescent="0.35">
      <c r="A74" t="str">
        <f>[1]RAW_BankStatement!A74</f>
        <v>BNK0073</v>
      </c>
      <c r="B74" s="2">
        <f>[1]RAW_BankStatement!B74</f>
        <v>45974</v>
      </c>
      <c r="C74" t="str">
        <f>[1]RAW_BankStatement!C74</f>
        <v>Customer Receipt</v>
      </c>
      <c r="D74">
        <f>[1]RAW_BankStatement!D74</f>
        <v>42876</v>
      </c>
      <c r="E74">
        <f>[1]RAW_BankStatement!E74</f>
        <v>0</v>
      </c>
      <c r="F74">
        <f>[1]RAW_BankStatement!F74</f>
        <v>-854421</v>
      </c>
    </row>
    <row r="75" spans="1:6" ht="15" customHeight="1" x14ac:dyDescent="0.35">
      <c r="A75" t="str">
        <f>[1]RAW_BankStatement!A75</f>
        <v>BNK0074</v>
      </c>
      <c r="B75" s="2">
        <f>[1]RAW_BankStatement!B75</f>
        <v>45912</v>
      </c>
      <c r="C75" t="str">
        <f>[1]RAW_BankStatement!C75</f>
        <v>Bank Fee</v>
      </c>
      <c r="D75">
        <f>[1]RAW_BankStatement!D75</f>
        <v>0</v>
      </c>
      <c r="E75">
        <f>[1]RAW_BankStatement!E75</f>
        <v>42101</v>
      </c>
      <c r="F75">
        <f>[1]RAW_BankStatement!F75</f>
        <v>-896522</v>
      </c>
    </row>
    <row r="76" spans="1:6" ht="15" customHeight="1" x14ac:dyDescent="0.35">
      <c r="A76" t="str">
        <f>[1]RAW_BankStatement!A76</f>
        <v>BNK0075</v>
      </c>
      <c r="B76" s="2">
        <f>[1]RAW_BankStatement!B76</f>
        <v>45986</v>
      </c>
      <c r="C76" t="str">
        <f>[1]RAW_BankStatement!C76</f>
        <v>Salary Payment</v>
      </c>
      <c r="D76">
        <f>[1]RAW_BankStatement!D76</f>
        <v>0</v>
      </c>
      <c r="E76">
        <f>[1]RAW_BankStatement!E76</f>
        <v>20798</v>
      </c>
      <c r="F76">
        <f>[1]RAW_BankStatement!F76</f>
        <v>-917320</v>
      </c>
    </row>
    <row r="77" spans="1:6" ht="15" customHeight="1" x14ac:dyDescent="0.35">
      <c r="A77" t="str">
        <f>[1]RAW_BankStatement!A77</f>
        <v>BNK0076</v>
      </c>
      <c r="B77" s="2">
        <f>[1]RAW_BankStatement!B77</f>
        <v>45783</v>
      </c>
      <c r="C77" t="str">
        <f>[1]RAW_BankStatement!C77</f>
        <v>Salary Payment</v>
      </c>
      <c r="D77">
        <f>[1]RAW_BankStatement!D77</f>
        <v>0</v>
      </c>
      <c r="E77">
        <f>[1]RAW_BankStatement!E77</f>
        <v>45891</v>
      </c>
      <c r="F77">
        <f>[1]RAW_BankStatement!F77</f>
        <v>-963211</v>
      </c>
    </row>
    <row r="78" spans="1:6" ht="15" customHeight="1" x14ac:dyDescent="0.35">
      <c r="A78" t="str">
        <f>[1]RAW_BankStatement!A78</f>
        <v>BNK0077</v>
      </c>
      <c r="B78" s="2">
        <f>[1]RAW_BankStatement!B78</f>
        <v>45810</v>
      </c>
      <c r="C78" t="str">
        <f>[1]RAW_BankStatement!C78</f>
        <v>Customer Receipt</v>
      </c>
      <c r="D78">
        <f>[1]RAW_BankStatement!D78</f>
        <v>30723</v>
      </c>
      <c r="E78">
        <f>[1]RAW_BankStatement!E78</f>
        <v>0</v>
      </c>
      <c r="F78">
        <f>[1]RAW_BankStatement!F78</f>
        <v>-932488</v>
      </c>
    </row>
    <row r="79" spans="1:6" ht="15" customHeight="1" x14ac:dyDescent="0.35">
      <c r="A79" t="str">
        <f>[1]RAW_BankStatement!A79</f>
        <v>BNK0078</v>
      </c>
      <c r="B79" s="2">
        <f>[1]RAW_BankStatement!B79</f>
        <v>46010</v>
      </c>
      <c r="C79" t="str">
        <f>[1]RAW_BankStatement!C79</f>
        <v>Supplier Payment</v>
      </c>
      <c r="D79">
        <f>[1]RAW_BankStatement!D79</f>
        <v>0</v>
      </c>
      <c r="E79">
        <f>[1]RAW_BankStatement!E79</f>
        <v>4926</v>
      </c>
      <c r="F79">
        <f>[1]RAW_BankStatement!F79</f>
        <v>-937414</v>
      </c>
    </row>
    <row r="80" spans="1:6" ht="15" customHeight="1" x14ac:dyDescent="0.35">
      <c r="A80" t="str">
        <f>[1]RAW_BankStatement!A80</f>
        <v>BNK0079</v>
      </c>
      <c r="B80" s="2">
        <f>[1]RAW_BankStatement!B80</f>
        <v>45883</v>
      </c>
      <c r="C80" t="str">
        <f>[1]RAW_BankStatement!C80</f>
        <v>Salary Payment</v>
      </c>
      <c r="D80">
        <f>[1]RAW_BankStatement!D80</f>
        <v>0</v>
      </c>
      <c r="E80">
        <f>[1]RAW_BankStatement!E80</f>
        <v>28238</v>
      </c>
      <c r="F80">
        <f>[1]RAW_BankStatement!F80</f>
        <v>-965652</v>
      </c>
    </row>
    <row r="81" spans="1:6" ht="15" customHeight="1" x14ac:dyDescent="0.35">
      <c r="A81" t="str">
        <f>[1]RAW_BankStatement!A81</f>
        <v>BNK0080</v>
      </c>
      <c r="B81" s="2">
        <f>[1]RAW_BankStatement!B81</f>
        <v>45895</v>
      </c>
      <c r="C81" t="str">
        <f>[1]RAW_BankStatement!C81</f>
        <v>Bank Fee</v>
      </c>
      <c r="D81">
        <f>[1]RAW_BankStatement!D81</f>
        <v>0</v>
      </c>
      <c r="E81">
        <f>[1]RAW_BankStatement!E81</f>
        <v>14370</v>
      </c>
      <c r="F81">
        <f>[1]RAW_BankStatement!F81</f>
        <v>-980022</v>
      </c>
    </row>
    <row r="82" spans="1:6" ht="15" customHeight="1" x14ac:dyDescent="0.35">
      <c r="A82" t="str">
        <f>[1]RAW_BankStatement!A82</f>
        <v>BNK0081</v>
      </c>
      <c r="B82" s="2">
        <f>[1]RAW_BankStatement!B82</f>
        <v>45968</v>
      </c>
      <c r="C82" t="str">
        <f>[1]RAW_BankStatement!C82</f>
        <v>Bank Fee</v>
      </c>
      <c r="D82">
        <f>[1]RAW_BankStatement!D82</f>
        <v>0</v>
      </c>
      <c r="E82">
        <f>[1]RAW_BankStatement!E82</f>
        <v>10415</v>
      </c>
      <c r="F82">
        <f>[1]RAW_BankStatement!F82</f>
        <v>-990437</v>
      </c>
    </row>
    <row r="83" spans="1:6" ht="15" customHeight="1" x14ac:dyDescent="0.35">
      <c r="A83" t="str">
        <f>[1]RAW_BankStatement!A83</f>
        <v>BNK0082</v>
      </c>
      <c r="B83" s="2">
        <f>[1]RAW_BankStatement!B83</f>
        <v>45821</v>
      </c>
      <c r="C83" t="str">
        <f>[1]RAW_BankStatement!C83</f>
        <v>Bank Fee</v>
      </c>
      <c r="D83">
        <f>[1]RAW_BankStatement!D83</f>
        <v>0</v>
      </c>
      <c r="E83">
        <f>[1]RAW_BankStatement!E83</f>
        <v>49116</v>
      </c>
      <c r="F83">
        <f>[1]RAW_BankStatement!F83</f>
        <v>-1039553</v>
      </c>
    </row>
    <row r="84" spans="1:6" ht="15" customHeight="1" x14ac:dyDescent="0.35">
      <c r="A84" t="str">
        <f>[1]RAW_BankStatement!A84</f>
        <v>BNK0083</v>
      </c>
      <c r="B84" s="2">
        <f>[1]RAW_BankStatement!B84</f>
        <v>45862</v>
      </c>
      <c r="C84" t="str">
        <f>[1]RAW_BankStatement!C84</f>
        <v>Bank Fee</v>
      </c>
      <c r="D84">
        <f>[1]RAW_BankStatement!D84</f>
        <v>0</v>
      </c>
      <c r="E84">
        <f>[1]RAW_BankStatement!E84</f>
        <v>9569</v>
      </c>
      <c r="F84">
        <f>[1]RAW_BankStatement!F84</f>
        <v>-1049122</v>
      </c>
    </row>
    <row r="85" spans="1:6" ht="15" customHeight="1" x14ac:dyDescent="0.35">
      <c r="A85" t="str">
        <f>[1]RAW_BankStatement!A85</f>
        <v>BNK0084</v>
      </c>
      <c r="B85" s="2">
        <f>[1]RAW_BankStatement!B85</f>
        <v>45921</v>
      </c>
      <c r="C85" t="str">
        <f>[1]RAW_BankStatement!C85</f>
        <v>Customer Receipt</v>
      </c>
      <c r="D85">
        <f>[1]RAW_BankStatement!D85</f>
        <v>37808</v>
      </c>
      <c r="E85">
        <f>[1]RAW_BankStatement!E85</f>
        <v>0</v>
      </c>
      <c r="F85">
        <f>[1]RAW_BankStatement!F85</f>
        <v>-1011314</v>
      </c>
    </row>
    <row r="86" spans="1:6" ht="15" customHeight="1" x14ac:dyDescent="0.35">
      <c r="A86" t="str">
        <f>[1]RAW_BankStatement!A86</f>
        <v>BNK0085</v>
      </c>
      <c r="B86" s="2">
        <f>[1]RAW_BankStatement!B86</f>
        <v>45821</v>
      </c>
      <c r="C86" t="str">
        <f>[1]RAW_BankStatement!C86</f>
        <v>Salary Payment</v>
      </c>
      <c r="D86">
        <f>[1]RAW_BankStatement!D86</f>
        <v>0</v>
      </c>
      <c r="E86">
        <f>[1]RAW_BankStatement!E86</f>
        <v>16842</v>
      </c>
      <c r="F86">
        <f>[1]RAW_BankStatement!F86</f>
        <v>-1028156</v>
      </c>
    </row>
    <row r="87" spans="1:6" ht="15" customHeight="1" x14ac:dyDescent="0.35">
      <c r="A87" t="str">
        <f>[1]RAW_BankStatement!A87</f>
        <v>BNK0086</v>
      </c>
      <c r="B87" s="2">
        <f>[1]RAW_BankStatement!B87</f>
        <v>45720</v>
      </c>
      <c r="C87" t="str">
        <f>[1]RAW_BankStatement!C87</f>
        <v>Salary Payment</v>
      </c>
      <c r="D87">
        <f>[1]RAW_BankStatement!D87</f>
        <v>0</v>
      </c>
      <c r="E87">
        <f>[1]RAW_BankStatement!E87</f>
        <v>18529</v>
      </c>
      <c r="F87">
        <f>[1]RAW_BankStatement!F87</f>
        <v>-1046685</v>
      </c>
    </row>
    <row r="88" spans="1:6" ht="15" customHeight="1" x14ac:dyDescent="0.35">
      <c r="A88" t="str">
        <f>[1]RAW_BankStatement!A88</f>
        <v>BNK0087</v>
      </c>
      <c r="B88" s="2">
        <f>[1]RAW_BankStatement!B88</f>
        <v>45784</v>
      </c>
      <c r="C88" t="str">
        <f>[1]RAW_BankStatement!C88</f>
        <v>Customer Receipt</v>
      </c>
      <c r="D88">
        <f>[1]RAW_BankStatement!D88</f>
        <v>10232</v>
      </c>
      <c r="E88">
        <f>[1]RAW_BankStatement!E88</f>
        <v>0</v>
      </c>
      <c r="F88">
        <f>[1]RAW_BankStatement!F88</f>
        <v>-1036453</v>
      </c>
    </row>
    <row r="89" spans="1:6" ht="15" customHeight="1" x14ac:dyDescent="0.35">
      <c r="A89" t="str">
        <f>[1]RAW_BankStatement!A89</f>
        <v>BNK0088</v>
      </c>
      <c r="B89" s="2">
        <f>[1]RAW_BankStatement!B89</f>
        <v>45683</v>
      </c>
      <c r="C89" t="str">
        <f>[1]RAW_BankStatement!C89</f>
        <v>Salary Payment</v>
      </c>
      <c r="D89">
        <f>[1]RAW_BankStatement!D89</f>
        <v>0</v>
      </c>
      <c r="E89">
        <f>[1]RAW_BankStatement!E89</f>
        <v>20019</v>
      </c>
      <c r="F89">
        <f>[1]RAW_BankStatement!F89</f>
        <v>-1056472</v>
      </c>
    </row>
    <row r="90" spans="1:6" ht="15" customHeight="1" x14ac:dyDescent="0.35">
      <c r="A90" t="str">
        <f>[1]RAW_BankStatement!A90</f>
        <v>BNK0089</v>
      </c>
      <c r="B90" s="2">
        <f>[1]RAW_BankStatement!B90</f>
        <v>45973</v>
      </c>
      <c r="C90" t="str">
        <f>[1]RAW_BankStatement!C90</f>
        <v>Supplier Payment</v>
      </c>
      <c r="D90">
        <f>[1]RAW_BankStatement!D90</f>
        <v>0</v>
      </c>
      <c r="E90">
        <f>[1]RAW_BankStatement!E90</f>
        <v>28402</v>
      </c>
      <c r="F90">
        <f>[1]RAW_BankStatement!F90</f>
        <v>-1084874</v>
      </c>
    </row>
    <row r="91" spans="1:6" ht="15" customHeight="1" x14ac:dyDescent="0.35">
      <c r="A91" t="str">
        <f>[1]RAW_BankStatement!A91</f>
        <v>BNK0090</v>
      </c>
      <c r="B91" s="2">
        <f>[1]RAW_BankStatement!B91</f>
        <v>45739</v>
      </c>
      <c r="C91" t="str">
        <f>[1]RAW_BankStatement!C91</f>
        <v>Bank Fee</v>
      </c>
      <c r="D91">
        <f>[1]RAW_BankStatement!D91</f>
        <v>0</v>
      </c>
      <c r="E91">
        <f>[1]RAW_BankStatement!E91</f>
        <v>22458</v>
      </c>
      <c r="F91">
        <f>[1]RAW_BankStatement!F91</f>
        <v>-1107332</v>
      </c>
    </row>
    <row r="92" spans="1:6" ht="15" customHeight="1" x14ac:dyDescent="0.35">
      <c r="A92" t="str">
        <f>[1]RAW_BankStatement!A92</f>
        <v>BNK0091</v>
      </c>
      <c r="B92" s="2">
        <f>[1]RAW_BankStatement!B92</f>
        <v>45755</v>
      </c>
      <c r="C92" t="str">
        <f>[1]RAW_BankStatement!C92</f>
        <v>Salary Payment</v>
      </c>
      <c r="D92">
        <f>[1]RAW_BankStatement!D92</f>
        <v>0</v>
      </c>
      <c r="E92">
        <f>[1]RAW_BankStatement!E92</f>
        <v>11442</v>
      </c>
      <c r="F92">
        <f>[1]RAW_BankStatement!F92</f>
        <v>-1118774</v>
      </c>
    </row>
    <row r="93" spans="1:6" ht="15" customHeight="1" x14ac:dyDescent="0.35">
      <c r="A93" t="str">
        <f>[1]RAW_BankStatement!A93</f>
        <v>BNK0092</v>
      </c>
      <c r="B93" s="2">
        <f>[1]RAW_BankStatement!B93</f>
        <v>45921</v>
      </c>
      <c r="C93" t="str">
        <f>[1]RAW_BankStatement!C93</f>
        <v>Salary Payment</v>
      </c>
      <c r="D93">
        <f>[1]RAW_BankStatement!D93</f>
        <v>0</v>
      </c>
      <c r="E93">
        <f>[1]RAW_BankStatement!E93</f>
        <v>31593</v>
      </c>
      <c r="F93">
        <f>[1]RAW_BankStatement!F93</f>
        <v>-1150367</v>
      </c>
    </row>
    <row r="94" spans="1:6" ht="15" customHeight="1" x14ac:dyDescent="0.35">
      <c r="A94" t="str">
        <f>[1]RAW_BankStatement!A94</f>
        <v>BNK0093</v>
      </c>
      <c r="B94" s="2">
        <f>[1]RAW_BankStatement!B94</f>
        <v>45815</v>
      </c>
      <c r="C94" t="str">
        <f>[1]RAW_BankStatement!C94</f>
        <v>Customer Receipt</v>
      </c>
      <c r="D94">
        <f>[1]RAW_BankStatement!D94</f>
        <v>33595</v>
      </c>
      <c r="E94">
        <f>[1]RAW_BankStatement!E94</f>
        <v>0</v>
      </c>
      <c r="F94">
        <f>[1]RAW_BankStatement!F94</f>
        <v>-1116772</v>
      </c>
    </row>
    <row r="95" spans="1:6" ht="15" customHeight="1" x14ac:dyDescent="0.35">
      <c r="A95" t="str">
        <f>[1]RAW_BankStatement!A95</f>
        <v>BNK0094</v>
      </c>
      <c r="B95" s="2">
        <f>[1]RAW_BankStatement!B95</f>
        <v>45704</v>
      </c>
      <c r="C95" t="str">
        <f>[1]RAW_BankStatement!C95</f>
        <v>Salary Payment</v>
      </c>
      <c r="D95">
        <f>[1]RAW_BankStatement!D95</f>
        <v>0</v>
      </c>
      <c r="E95">
        <f>[1]RAW_BankStatement!E95</f>
        <v>26771</v>
      </c>
      <c r="F95">
        <f>[1]RAW_BankStatement!F95</f>
        <v>-1143543</v>
      </c>
    </row>
    <row r="96" spans="1:6" ht="15" customHeight="1" x14ac:dyDescent="0.35">
      <c r="A96" t="str">
        <f>[1]RAW_BankStatement!A96</f>
        <v>BNK0095</v>
      </c>
      <c r="B96" s="2">
        <f>[1]RAW_BankStatement!B96</f>
        <v>45781</v>
      </c>
      <c r="C96" t="str">
        <f>[1]RAW_BankStatement!C96</f>
        <v>Bank Fee</v>
      </c>
      <c r="D96">
        <f>[1]RAW_BankStatement!D96</f>
        <v>0</v>
      </c>
      <c r="E96">
        <f>[1]RAW_BankStatement!E96</f>
        <v>15099</v>
      </c>
      <c r="F96">
        <f>[1]RAW_BankStatement!F96</f>
        <v>-1158642</v>
      </c>
    </row>
    <row r="97" spans="1:6" ht="15" customHeight="1" x14ac:dyDescent="0.35">
      <c r="A97" t="str">
        <f>[1]RAW_BankStatement!A97</f>
        <v>BNK0096</v>
      </c>
      <c r="B97" s="2">
        <f>[1]RAW_BankStatement!B97</f>
        <v>45682</v>
      </c>
      <c r="C97" t="str">
        <f>[1]RAW_BankStatement!C97</f>
        <v>Bank Fee</v>
      </c>
      <c r="D97">
        <f>[1]RAW_BankStatement!D97</f>
        <v>0</v>
      </c>
      <c r="E97">
        <f>[1]RAW_BankStatement!E97</f>
        <v>4312</v>
      </c>
      <c r="F97">
        <f>[1]RAW_BankStatement!F97</f>
        <v>-1162954</v>
      </c>
    </row>
    <row r="98" spans="1:6" ht="15" customHeight="1" x14ac:dyDescent="0.35">
      <c r="A98" t="str">
        <f>[1]RAW_BankStatement!A98</f>
        <v>BNK0097</v>
      </c>
      <c r="B98" s="2">
        <f>[1]RAW_BankStatement!B98</f>
        <v>45911</v>
      </c>
      <c r="C98" t="str">
        <f>[1]RAW_BankStatement!C98</f>
        <v>Salary Payment</v>
      </c>
      <c r="D98">
        <f>[1]RAW_BankStatement!D98</f>
        <v>0</v>
      </c>
      <c r="E98">
        <f>[1]RAW_BankStatement!E98</f>
        <v>40158</v>
      </c>
      <c r="F98">
        <f>[1]RAW_BankStatement!F98</f>
        <v>-1203112</v>
      </c>
    </row>
    <row r="99" spans="1:6" ht="15" customHeight="1" x14ac:dyDescent="0.35">
      <c r="A99" t="str">
        <f>[1]RAW_BankStatement!A99</f>
        <v>BNK0098</v>
      </c>
      <c r="B99" s="2">
        <f>[1]RAW_BankStatement!B99</f>
        <v>45804</v>
      </c>
      <c r="C99" t="str">
        <f>[1]RAW_BankStatement!C99</f>
        <v>Customer Receipt</v>
      </c>
      <c r="D99">
        <f>[1]RAW_BankStatement!D99</f>
        <v>36172</v>
      </c>
      <c r="E99">
        <f>[1]RAW_BankStatement!E99</f>
        <v>0</v>
      </c>
      <c r="F99">
        <f>[1]RAW_BankStatement!F99</f>
        <v>-1166940</v>
      </c>
    </row>
    <row r="100" spans="1:6" ht="15" customHeight="1" x14ac:dyDescent="0.35">
      <c r="A100" t="str">
        <f>[1]RAW_BankStatement!A100</f>
        <v>BNK0099</v>
      </c>
      <c r="B100" s="2">
        <f>[1]RAW_BankStatement!B100</f>
        <v>45713</v>
      </c>
      <c r="C100" t="str">
        <f>[1]RAW_BankStatement!C100</f>
        <v>Supplier Payment</v>
      </c>
      <c r="D100">
        <f>[1]RAW_BankStatement!D100</f>
        <v>0</v>
      </c>
      <c r="E100">
        <f>[1]RAW_BankStatement!E100</f>
        <v>29241</v>
      </c>
      <c r="F100">
        <f>[1]RAW_BankStatement!F100</f>
        <v>-1196181</v>
      </c>
    </row>
    <row r="101" spans="1:6" ht="15" customHeight="1" x14ac:dyDescent="0.35">
      <c r="A101" t="str">
        <f>[1]RAW_BankStatement!A101</f>
        <v>BNK0100</v>
      </c>
      <c r="B101" s="2">
        <f>[1]RAW_BankStatement!B101</f>
        <v>45793</v>
      </c>
      <c r="C101" t="str">
        <f>[1]RAW_BankStatement!C101</f>
        <v>Bank Fee</v>
      </c>
      <c r="D101">
        <f>[1]RAW_BankStatement!D101</f>
        <v>0</v>
      </c>
      <c r="E101">
        <f>[1]RAW_BankStatement!E101</f>
        <v>48677</v>
      </c>
      <c r="F101">
        <f>[1]RAW_BankStatement!F101</f>
        <v>-1244858</v>
      </c>
    </row>
    <row r="102" spans="1:6" ht="15" customHeight="1" x14ac:dyDescent="0.35">
      <c r="A102" t="str">
        <f>[1]RAW_BankStatement!A102</f>
        <v>BNK0101</v>
      </c>
      <c r="B102" s="2">
        <f>[1]RAW_BankStatement!B102</f>
        <v>45864</v>
      </c>
      <c r="C102" t="str">
        <f>[1]RAW_BankStatement!C102</f>
        <v>Customer Receipt</v>
      </c>
      <c r="D102">
        <f>[1]RAW_BankStatement!D102</f>
        <v>24982</v>
      </c>
      <c r="E102">
        <f>[1]RAW_BankStatement!E102</f>
        <v>0</v>
      </c>
      <c r="F102">
        <f>[1]RAW_BankStatement!F102</f>
        <v>-1219876</v>
      </c>
    </row>
    <row r="103" spans="1:6" ht="15" customHeight="1" x14ac:dyDescent="0.35">
      <c r="A103" t="str">
        <f>[1]RAW_BankStatement!A103</f>
        <v>BNK0102</v>
      </c>
      <c r="B103" s="2">
        <f>[1]RAW_BankStatement!B103</f>
        <v>45863</v>
      </c>
      <c r="C103" t="str">
        <f>[1]RAW_BankStatement!C103</f>
        <v>Supplier Payment</v>
      </c>
      <c r="D103">
        <f>[1]RAW_BankStatement!D103</f>
        <v>0</v>
      </c>
      <c r="E103">
        <f>[1]RAW_BankStatement!E103</f>
        <v>4352</v>
      </c>
      <c r="F103">
        <f>[1]RAW_BankStatement!F103</f>
        <v>-1224228</v>
      </c>
    </row>
    <row r="104" spans="1:6" ht="15" customHeight="1" x14ac:dyDescent="0.35">
      <c r="A104" t="str">
        <f>[1]RAW_BankStatement!A104</f>
        <v>BNK0103</v>
      </c>
      <c r="B104" s="2">
        <f>[1]RAW_BankStatement!B104</f>
        <v>45843</v>
      </c>
      <c r="C104" t="str">
        <f>[1]RAW_BankStatement!C104</f>
        <v>Bank Fee</v>
      </c>
      <c r="D104">
        <f>[1]RAW_BankStatement!D104</f>
        <v>0</v>
      </c>
      <c r="E104">
        <f>[1]RAW_BankStatement!E104</f>
        <v>37256</v>
      </c>
      <c r="F104">
        <f>[1]RAW_BankStatement!F104</f>
        <v>-1261484</v>
      </c>
    </row>
    <row r="105" spans="1:6" ht="15" customHeight="1" x14ac:dyDescent="0.35">
      <c r="A105" t="str">
        <f>[1]RAW_BankStatement!A105</f>
        <v>BNK0104</v>
      </c>
      <c r="B105" s="2">
        <f>[1]RAW_BankStatement!B105</f>
        <v>45695</v>
      </c>
      <c r="C105" t="str">
        <f>[1]RAW_BankStatement!C105</f>
        <v>Salary Payment</v>
      </c>
      <c r="D105">
        <f>[1]RAW_BankStatement!D105</f>
        <v>0</v>
      </c>
      <c r="E105">
        <f>[1]RAW_BankStatement!E105</f>
        <v>26319</v>
      </c>
      <c r="F105">
        <f>[1]RAW_BankStatement!F105</f>
        <v>-1287803</v>
      </c>
    </row>
    <row r="106" spans="1:6" ht="15" customHeight="1" x14ac:dyDescent="0.35">
      <c r="A106" t="str">
        <f>[1]RAW_BankStatement!A106</f>
        <v>BNK0105</v>
      </c>
      <c r="B106" s="2">
        <f>[1]RAW_BankStatement!B106</f>
        <v>45939</v>
      </c>
      <c r="C106" t="str">
        <f>[1]RAW_BankStatement!C106</f>
        <v>Customer Receipt</v>
      </c>
      <c r="D106">
        <f>[1]RAW_BankStatement!D106</f>
        <v>19331</v>
      </c>
      <c r="E106">
        <f>[1]RAW_BankStatement!E106</f>
        <v>0</v>
      </c>
      <c r="F106">
        <f>[1]RAW_BankStatement!F106</f>
        <v>-1268472</v>
      </c>
    </row>
    <row r="107" spans="1:6" ht="15" customHeight="1" x14ac:dyDescent="0.35">
      <c r="A107" t="str">
        <f>[1]RAW_BankStatement!A107</f>
        <v>BNK0106</v>
      </c>
      <c r="B107" s="2">
        <f>[1]RAW_BankStatement!B107</f>
        <v>45723</v>
      </c>
      <c r="C107" t="str">
        <f>[1]RAW_BankStatement!C107</f>
        <v>Salary Payment</v>
      </c>
      <c r="D107">
        <f>[1]RAW_BankStatement!D107</f>
        <v>0</v>
      </c>
      <c r="E107">
        <f>[1]RAW_BankStatement!E107</f>
        <v>7336</v>
      </c>
      <c r="F107">
        <f>[1]RAW_BankStatement!F107</f>
        <v>-1275808</v>
      </c>
    </row>
    <row r="108" spans="1:6" ht="15" customHeight="1" x14ac:dyDescent="0.35">
      <c r="A108" t="str">
        <f>[1]RAW_BankStatement!A108</f>
        <v>BNK0107</v>
      </c>
      <c r="B108" s="2">
        <f>[1]RAW_BankStatement!B108</f>
        <v>45849</v>
      </c>
      <c r="C108" t="str">
        <f>[1]RAW_BankStatement!C108</f>
        <v>Bank Fee</v>
      </c>
      <c r="D108">
        <f>[1]RAW_BankStatement!D108</f>
        <v>0</v>
      </c>
      <c r="E108">
        <f>[1]RAW_BankStatement!E108</f>
        <v>23222</v>
      </c>
      <c r="F108">
        <f>[1]RAW_BankStatement!F108</f>
        <v>-1299030</v>
      </c>
    </row>
    <row r="109" spans="1:6" ht="15" customHeight="1" x14ac:dyDescent="0.35">
      <c r="A109" t="str">
        <f>[1]RAW_BankStatement!A109</f>
        <v>BNK0108</v>
      </c>
      <c r="B109" s="2">
        <f>[1]RAW_BankStatement!B109</f>
        <v>45731</v>
      </c>
      <c r="C109" t="str">
        <f>[1]RAW_BankStatement!C109</f>
        <v>Salary Payment</v>
      </c>
      <c r="D109">
        <f>[1]RAW_BankStatement!D109</f>
        <v>0</v>
      </c>
      <c r="E109">
        <f>[1]RAW_BankStatement!E109</f>
        <v>14045</v>
      </c>
      <c r="F109">
        <f>[1]RAW_BankStatement!F109</f>
        <v>-1313075</v>
      </c>
    </row>
    <row r="110" spans="1:6" ht="15" customHeight="1" x14ac:dyDescent="0.35">
      <c r="A110" t="str">
        <f>[1]RAW_BankStatement!A110</f>
        <v>BNK0109</v>
      </c>
      <c r="B110" s="2">
        <f>[1]RAW_BankStatement!B110</f>
        <v>45914</v>
      </c>
      <c r="C110" t="str">
        <f>[1]RAW_BankStatement!C110</f>
        <v>Customer Receipt</v>
      </c>
      <c r="D110">
        <f>[1]RAW_BankStatement!D110</f>
        <v>3638</v>
      </c>
      <c r="E110">
        <f>[1]RAW_BankStatement!E110</f>
        <v>0</v>
      </c>
      <c r="F110">
        <f>[1]RAW_BankStatement!F110</f>
        <v>-1309437</v>
      </c>
    </row>
    <row r="111" spans="1:6" ht="15" customHeight="1" x14ac:dyDescent="0.35">
      <c r="A111" t="str">
        <f>[1]RAW_BankStatement!A111</f>
        <v>BNK0110</v>
      </c>
      <c r="B111" s="2">
        <f>[1]RAW_BankStatement!B111</f>
        <v>45677</v>
      </c>
      <c r="C111" t="str">
        <f>[1]RAW_BankStatement!C111</f>
        <v>Bank Fee</v>
      </c>
      <c r="D111">
        <f>[1]RAW_BankStatement!D111</f>
        <v>0</v>
      </c>
      <c r="E111">
        <f>[1]RAW_BankStatement!E111</f>
        <v>9980</v>
      </c>
      <c r="F111">
        <f>[1]RAW_BankStatement!F111</f>
        <v>-1319417</v>
      </c>
    </row>
    <row r="112" spans="1:6" ht="15" customHeight="1" x14ac:dyDescent="0.35">
      <c r="A112" t="str">
        <f>[1]RAW_BankStatement!A112</f>
        <v>BNK0111</v>
      </c>
      <c r="B112" s="2">
        <f>[1]RAW_BankStatement!B112</f>
        <v>45900</v>
      </c>
      <c r="C112" t="str">
        <f>[1]RAW_BankStatement!C112</f>
        <v>Salary Payment</v>
      </c>
      <c r="D112">
        <f>[1]RAW_BankStatement!D112</f>
        <v>0</v>
      </c>
      <c r="E112">
        <f>[1]RAW_BankStatement!E112</f>
        <v>35034</v>
      </c>
      <c r="F112">
        <f>[1]RAW_BankStatement!F112</f>
        <v>-1354451</v>
      </c>
    </row>
    <row r="113" spans="1:6" ht="15" customHeight="1" x14ac:dyDescent="0.35">
      <c r="A113" t="str">
        <f>[1]RAW_BankStatement!A113</f>
        <v>BNK0112</v>
      </c>
      <c r="B113" s="2">
        <f>[1]RAW_BankStatement!B113</f>
        <v>45734</v>
      </c>
      <c r="C113" t="str">
        <f>[1]RAW_BankStatement!C113</f>
        <v>Supplier Payment</v>
      </c>
      <c r="D113">
        <f>[1]RAW_BankStatement!D113</f>
        <v>0</v>
      </c>
      <c r="E113">
        <f>[1]RAW_BankStatement!E113</f>
        <v>40731</v>
      </c>
      <c r="F113">
        <f>[1]RAW_BankStatement!F113</f>
        <v>-1395182</v>
      </c>
    </row>
    <row r="114" spans="1:6" ht="15" customHeight="1" x14ac:dyDescent="0.35">
      <c r="A114" t="str">
        <f>[1]RAW_BankStatement!A114</f>
        <v>BNK0113</v>
      </c>
      <c r="B114" s="2">
        <f>[1]RAW_BankStatement!B114</f>
        <v>45825</v>
      </c>
      <c r="C114" t="str">
        <f>[1]RAW_BankStatement!C114</f>
        <v>Bank Fee</v>
      </c>
      <c r="D114">
        <f>[1]RAW_BankStatement!D114</f>
        <v>0</v>
      </c>
      <c r="E114">
        <f>[1]RAW_BankStatement!E114</f>
        <v>41178</v>
      </c>
      <c r="F114">
        <f>[1]RAW_BankStatement!F114</f>
        <v>-1436360</v>
      </c>
    </row>
    <row r="115" spans="1:6" ht="15" customHeight="1" x14ac:dyDescent="0.35">
      <c r="A115" t="str">
        <f>[1]RAW_BankStatement!A115</f>
        <v>BNK0114</v>
      </c>
      <c r="B115" s="2">
        <f>[1]RAW_BankStatement!B115</f>
        <v>45741</v>
      </c>
      <c r="C115" t="str">
        <f>[1]RAW_BankStatement!C115</f>
        <v>Bank Fee</v>
      </c>
      <c r="D115">
        <f>[1]RAW_BankStatement!D115</f>
        <v>0</v>
      </c>
      <c r="E115">
        <f>[1]RAW_BankStatement!E115</f>
        <v>26752</v>
      </c>
      <c r="F115">
        <f>[1]RAW_BankStatement!F115</f>
        <v>-1463112</v>
      </c>
    </row>
    <row r="116" spans="1:6" ht="15" customHeight="1" x14ac:dyDescent="0.35">
      <c r="A116" t="str">
        <f>[1]RAW_BankStatement!A116</f>
        <v>BNK0115</v>
      </c>
      <c r="B116" s="2">
        <f>[1]RAW_BankStatement!B116</f>
        <v>45961</v>
      </c>
      <c r="C116" t="str">
        <f>[1]RAW_BankStatement!C116</f>
        <v>Salary Payment</v>
      </c>
      <c r="D116">
        <f>[1]RAW_BankStatement!D116</f>
        <v>0</v>
      </c>
      <c r="E116">
        <f>[1]RAW_BankStatement!E116</f>
        <v>23044</v>
      </c>
      <c r="F116">
        <f>[1]RAW_BankStatement!F116</f>
        <v>-1486156</v>
      </c>
    </row>
    <row r="117" spans="1:6" ht="15" customHeight="1" x14ac:dyDescent="0.35">
      <c r="A117" t="str">
        <f>[1]RAW_BankStatement!A117</f>
        <v>BNK0116</v>
      </c>
      <c r="B117" s="2">
        <f>[1]RAW_BankStatement!B117</f>
        <v>46020</v>
      </c>
      <c r="C117" t="str">
        <f>[1]RAW_BankStatement!C117</f>
        <v>Bank Fee</v>
      </c>
      <c r="D117">
        <f>[1]RAW_BankStatement!D117</f>
        <v>0</v>
      </c>
      <c r="E117">
        <f>[1]RAW_BankStatement!E117</f>
        <v>37891</v>
      </c>
      <c r="F117">
        <f>[1]RAW_BankStatement!F117</f>
        <v>-1524047</v>
      </c>
    </row>
    <row r="118" spans="1:6" ht="15" customHeight="1" x14ac:dyDescent="0.35">
      <c r="A118" t="str">
        <f>[1]RAW_BankStatement!A118</f>
        <v>BNK0117</v>
      </c>
      <c r="B118" s="2">
        <f>[1]RAW_BankStatement!B118</f>
        <v>45901</v>
      </c>
      <c r="C118" t="str">
        <f>[1]RAW_BankStatement!C118</f>
        <v>Bank Fee</v>
      </c>
      <c r="D118">
        <f>[1]RAW_BankStatement!D118</f>
        <v>0</v>
      </c>
      <c r="E118">
        <f>[1]RAW_BankStatement!E118</f>
        <v>2090</v>
      </c>
      <c r="F118">
        <f>[1]RAW_BankStatement!F118</f>
        <v>-1526137</v>
      </c>
    </row>
    <row r="119" spans="1:6" ht="15" customHeight="1" x14ac:dyDescent="0.35">
      <c r="A119" t="str">
        <f>[1]RAW_BankStatement!A119</f>
        <v>BNK0118</v>
      </c>
      <c r="B119" s="2">
        <f>[1]RAW_BankStatement!B119</f>
        <v>45827</v>
      </c>
      <c r="C119" t="str">
        <f>[1]RAW_BankStatement!C119</f>
        <v>Customer Receipt</v>
      </c>
      <c r="D119">
        <f>[1]RAW_BankStatement!D119</f>
        <v>45158</v>
      </c>
      <c r="E119">
        <f>[1]RAW_BankStatement!E119</f>
        <v>0</v>
      </c>
      <c r="F119">
        <f>[1]RAW_BankStatement!F119</f>
        <v>-1480979</v>
      </c>
    </row>
    <row r="120" spans="1:6" ht="15" customHeight="1" x14ac:dyDescent="0.35">
      <c r="A120" t="str">
        <f>[1]RAW_BankStatement!A120</f>
        <v>BNK0119</v>
      </c>
      <c r="B120" s="2">
        <f>[1]RAW_BankStatement!B120</f>
        <v>45871</v>
      </c>
      <c r="C120" t="str">
        <f>[1]RAW_BankStatement!C120</f>
        <v>Bank Fee</v>
      </c>
      <c r="D120">
        <f>[1]RAW_BankStatement!D120</f>
        <v>0</v>
      </c>
      <c r="E120">
        <f>[1]RAW_BankStatement!E120</f>
        <v>39253</v>
      </c>
      <c r="F120">
        <f>[1]RAW_BankStatement!F120</f>
        <v>-1520232</v>
      </c>
    </row>
    <row r="121" spans="1:6" ht="15" customHeight="1" x14ac:dyDescent="0.35">
      <c r="A121" t="str">
        <f>[1]RAW_BankStatement!A121</f>
        <v>BNK0120</v>
      </c>
      <c r="B121" s="2">
        <f>[1]RAW_BankStatement!B121</f>
        <v>46010</v>
      </c>
      <c r="C121" t="str">
        <f>[1]RAW_BankStatement!C121</f>
        <v>Customer Receipt</v>
      </c>
      <c r="D121">
        <f>[1]RAW_BankStatement!D121</f>
        <v>42239</v>
      </c>
      <c r="E121">
        <f>[1]RAW_BankStatement!E121</f>
        <v>0</v>
      </c>
      <c r="F121">
        <f>[1]RAW_BankStatement!F121</f>
        <v>-1477993</v>
      </c>
    </row>
    <row r="122" spans="1:6" x14ac:dyDescent="0.35">
      <c r="D122">
        <f ca="1">SUM(D2:D122)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439F6-DCC5-465A-A7A6-9BD0157F9D0B}">
  <sheetPr>
    <tabColor theme="9" tint="0.59999389629810485"/>
  </sheetPr>
  <dimension ref="A1:I121"/>
  <sheetViews>
    <sheetView workbookViewId="0">
      <selection activeCell="H12" sqref="H12"/>
    </sheetView>
  </sheetViews>
  <sheetFormatPr defaultRowHeight="14.5" x14ac:dyDescent="0.35"/>
  <cols>
    <col min="1" max="1" width="9.90625" bestFit="1" customWidth="1"/>
    <col min="2" max="2" width="16.6328125" bestFit="1" customWidth="1"/>
    <col min="3" max="3" width="15.453125" bestFit="1" customWidth="1"/>
    <col min="4" max="4" width="5.81640625" bestFit="1" customWidth="1"/>
    <col min="5" max="5" width="6.36328125" bestFit="1" customWidth="1"/>
    <col min="6" max="6" width="8.453125" bestFit="1" customWidth="1"/>
    <col min="7" max="7" width="6.54296875" bestFit="1" customWidth="1"/>
    <col min="8" max="8" width="18.08984375" bestFit="1" customWidth="1"/>
    <col min="9" max="9" width="9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tr">
        <f>'[1]01-Cash-Raw'!A2</f>
        <v>BNK0001</v>
      </c>
      <c r="B2" s="2">
        <f>'[1]01-Cash-Raw'!B2</f>
        <v>45808</v>
      </c>
      <c r="C2" t="str">
        <f>'[1]01-Cash-Raw'!C2</f>
        <v>Customer Receipt</v>
      </c>
      <c r="D2">
        <f>'[1]01-Cash-Raw'!D2</f>
        <v>14211</v>
      </c>
      <c r="E2">
        <f>'[1]01-Cash-Raw'!E2</f>
        <v>0</v>
      </c>
      <c r="F2">
        <f>'[1]01-Cash-Raw'!F2</f>
        <v>514211</v>
      </c>
      <c r="G2" t="str">
        <f>TEXT('[1]01-Cash-Hlp'!B2,"mmm")</f>
        <v>May</v>
      </c>
      <c r="H2">
        <f>'[1]01-Cash-Hlp'!E2-'[1]01-Cash-Hlp'!D2</f>
        <v>-14211</v>
      </c>
      <c r="I2" t="str">
        <f>IF(OR('[1]01-Cash-Hlp'!D2&gt;50000,'[1]01-Cash-Hlp'!E2&gt;50000),"Large","Normal")</f>
        <v>Normal</v>
      </c>
    </row>
    <row r="3" spans="1:9" x14ac:dyDescent="0.35">
      <c r="A3" t="str">
        <f>'[1]01-Cash-Raw'!A3</f>
        <v>BNK0002</v>
      </c>
      <c r="B3" s="2">
        <f>'[1]01-Cash-Raw'!B3</f>
        <v>45760</v>
      </c>
      <c r="C3" t="str">
        <f>'[1]01-Cash-Raw'!C3</f>
        <v>Bank Fee</v>
      </c>
      <c r="D3">
        <f>'[1]01-Cash-Raw'!D3</f>
        <v>0</v>
      </c>
      <c r="E3">
        <f>'[1]01-Cash-Raw'!E3</f>
        <v>3746</v>
      </c>
      <c r="F3">
        <f>'[1]01-Cash-Raw'!F3</f>
        <v>510465</v>
      </c>
      <c r="G3" t="str">
        <f>TEXT('[1]01-Cash-Hlp'!B3,"mmm")</f>
        <v>Apr</v>
      </c>
      <c r="H3">
        <f>'[1]01-Cash-Hlp'!E3-'[1]01-Cash-Hlp'!D3</f>
        <v>3746</v>
      </c>
      <c r="I3" t="str">
        <f>IF(OR('[1]01-Cash-Hlp'!D3&gt;50000,'[1]01-Cash-Hlp'!E3&gt;50000),"Large","Normal")</f>
        <v>Normal</v>
      </c>
    </row>
    <row r="4" spans="1:9" x14ac:dyDescent="0.35">
      <c r="A4" t="str">
        <f>'[1]01-Cash-Raw'!A4</f>
        <v>BNK0003</v>
      </c>
      <c r="B4" s="2">
        <f>'[1]01-Cash-Raw'!B4</f>
        <v>45816</v>
      </c>
      <c r="C4" t="str">
        <f>'[1]01-Cash-Raw'!C4</f>
        <v>Salary Payment</v>
      </c>
      <c r="D4">
        <f>'[1]01-Cash-Raw'!D4</f>
        <v>0</v>
      </c>
      <c r="E4">
        <f>'[1]01-Cash-Raw'!E4</f>
        <v>34776</v>
      </c>
      <c r="F4">
        <f>'[1]01-Cash-Raw'!F4</f>
        <v>475689</v>
      </c>
      <c r="G4" t="str">
        <f>TEXT('[1]01-Cash-Hlp'!B4,"mmm")</f>
        <v>Jun</v>
      </c>
      <c r="H4">
        <f>'[1]01-Cash-Hlp'!E4-'[1]01-Cash-Hlp'!D4</f>
        <v>34776</v>
      </c>
      <c r="I4" t="str">
        <f>IF(OR('[1]01-Cash-Hlp'!D4&gt;50000,'[1]01-Cash-Hlp'!E4&gt;50000),"Large","Normal")</f>
        <v>Normal</v>
      </c>
    </row>
    <row r="5" spans="1:9" x14ac:dyDescent="0.35">
      <c r="A5" t="str">
        <f>'[1]01-Cash-Raw'!A5</f>
        <v>BNK0004</v>
      </c>
      <c r="B5" s="2">
        <f>'[1]01-Cash-Raw'!B5</f>
        <v>45936</v>
      </c>
      <c r="C5" t="str">
        <f>'[1]01-Cash-Raw'!C5</f>
        <v>Bank Fee</v>
      </c>
      <c r="D5">
        <f>'[1]01-Cash-Raw'!D5</f>
        <v>0</v>
      </c>
      <c r="E5">
        <f>'[1]01-Cash-Raw'!E5</f>
        <v>32024</v>
      </c>
      <c r="F5">
        <f>'[1]01-Cash-Raw'!F5</f>
        <v>443665</v>
      </c>
      <c r="G5" t="str">
        <f>TEXT('[1]01-Cash-Hlp'!B5,"mmm")</f>
        <v>Oct</v>
      </c>
      <c r="H5">
        <f>'[1]01-Cash-Hlp'!E5-'[1]01-Cash-Hlp'!D5</f>
        <v>32024</v>
      </c>
      <c r="I5" t="str">
        <f>IF(OR('[1]01-Cash-Hlp'!D5&gt;50000,'[1]01-Cash-Hlp'!E5&gt;50000),"Large","Normal")</f>
        <v>Normal</v>
      </c>
    </row>
    <row r="6" spans="1:9" x14ac:dyDescent="0.35">
      <c r="A6" t="str">
        <f>'[1]01-Cash-Raw'!A6</f>
        <v>BNK0005</v>
      </c>
      <c r="B6" s="2">
        <f>'[1]01-Cash-Raw'!B6</f>
        <v>45676</v>
      </c>
      <c r="C6" t="str">
        <f>'[1]01-Cash-Raw'!C6</f>
        <v>Supplier Payment</v>
      </c>
      <c r="D6">
        <f>'[1]01-Cash-Raw'!D6</f>
        <v>0</v>
      </c>
      <c r="E6">
        <f>'[1]01-Cash-Raw'!E6</f>
        <v>43395</v>
      </c>
      <c r="F6">
        <f>'[1]01-Cash-Raw'!F6</f>
        <v>400270</v>
      </c>
      <c r="G6" t="str">
        <f>TEXT('[1]01-Cash-Hlp'!B6,"mmm")</f>
        <v>Jan</v>
      </c>
      <c r="H6">
        <f>'[1]01-Cash-Hlp'!E6-'[1]01-Cash-Hlp'!D6</f>
        <v>43395</v>
      </c>
      <c r="I6" t="str">
        <f>IF(OR('[1]01-Cash-Hlp'!D6&gt;50000,'[1]01-Cash-Hlp'!E6&gt;50000),"Large","Normal")</f>
        <v>Normal</v>
      </c>
    </row>
    <row r="7" spans="1:9" x14ac:dyDescent="0.35">
      <c r="A7" t="str">
        <f>'[1]01-Cash-Raw'!A7</f>
        <v>BNK0006</v>
      </c>
      <c r="B7" s="2">
        <f>'[1]01-Cash-Raw'!B7</f>
        <v>45804</v>
      </c>
      <c r="C7" t="str">
        <f>'[1]01-Cash-Raw'!C7</f>
        <v>Customer Receipt</v>
      </c>
      <c r="D7">
        <f>'[1]01-Cash-Raw'!D7</f>
        <v>24394</v>
      </c>
      <c r="E7">
        <f>'[1]01-Cash-Raw'!E7</f>
        <v>0</v>
      </c>
      <c r="F7">
        <f>'[1]01-Cash-Raw'!F7</f>
        <v>424664</v>
      </c>
      <c r="G7" t="str">
        <f>TEXT('[1]01-Cash-Hlp'!B7,"mmm")</f>
        <v>May</v>
      </c>
      <c r="H7">
        <f>'[1]01-Cash-Hlp'!E7-'[1]01-Cash-Hlp'!D7</f>
        <v>-24394</v>
      </c>
      <c r="I7" t="str">
        <f>IF(OR('[1]01-Cash-Hlp'!D7&gt;50000,'[1]01-Cash-Hlp'!E7&gt;50000),"Large","Normal")</f>
        <v>Normal</v>
      </c>
    </row>
    <row r="8" spans="1:9" x14ac:dyDescent="0.35">
      <c r="A8" t="str">
        <f>'[1]01-Cash-Raw'!A8</f>
        <v>BNK0007</v>
      </c>
      <c r="B8" s="2">
        <f>'[1]01-Cash-Raw'!B8</f>
        <v>45993</v>
      </c>
      <c r="C8" t="str">
        <f>'[1]01-Cash-Raw'!C8</f>
        <v>Bank Fee</v>
      </c>
      <c r="D8">
        <f>'[1]01-Cash-Raw'!D8</f>
        <v>0</v>
      </c>
      <c r="E8">
        <f>'[1]01-Cash-Raw'!E8</f>
        <v>22753</v>
      </c>
      <c r="F8">
        <f>'[1]01-Cash-Raw'!F8</f>
        <v>401911</v>
      </c>
      <c r="G8" t="str">
        <f>TEXT('[1]01-Cash-Hlp'!B8,"mmm")</f>
        <v>Dec</v>
      </c>
      <c r="H8">
        <f>'[1]01-Cash-Hlp'!E8-'[1]01-Cash-Hlp'!D8</f>
        <v>22753</v>
      </c>
      <c r="I8" t="str">
        <f>IF(OR('[1]01-Cash-Hlp'!D8&gt;50000,'[1]01-Cash-Hlp'!E8&gt;50000),"Large","Normal")</f>
        <v>Normal</v>
      </c>
    </row>
    <row r="9" spans="1:9" x14ac:dyDescent="0.35">
      <c r="A9" t="str">
        <f>'[1]01-Cash-Raw'!A9</f>
        <v>BNK0008</v>
      </c>
      <c r="B9" s="2">
        <f>'[1]01-Cash-Raw'!B9</f>
        <v>45721</v>
      </c>
      <c r="C9" t="str">
        <f>'[1]01-Cash-Raw'!C9</f>
        <v>Salary Payment</v>
      </c>
      <c r="D9">
        <f>'[1]01-Cash-Raw'!D9</f>
        <v>0</v>
      </c>
      <c r="E9">
        <f>'[1]01-Cash-Raw'!E9</f>
        <v>25118</v>
      </c>
      <c r="F9">
        <f>'[1]01-Cash-Raw'!F9</f>
        <v>376793</v>
      </c>
      <c r="G9" t="str">
        <f>TEXT('[1]01-Cash-Hlp'!B9,"mmm")</f>
        <v>Mar</v>
      </c>
      <c r="H9">
        <f>'[1]01-Cash-Hlp'!E9-'[1]01-Cash-Hlp'!D9</f>
        <v>25118</v>
      </c>
      <c r="I9" t="str">
        <f>IF(OR('[1]01-Cash-Hlp'!D9&gt;50000,'[1]01-Cash-Hlp'!E9&gt;50000),"Large","Normal")</f>
        <v>Normal</v>
      </c>
    </row>
    <row r="10" spans="1:9" x14ac:dyDescent="0.35">
      <c r="A10" t="str">
        <f>'[1]01-Cash-Raw'!A10</f>
        <v>BNK0009</v>
      </c>
      <c r="B10" s="2">
        <f>'[1]01-Cash-Raw'!B10</f>
        <v>45862</v>
      </c>
      <c r="C10" t="str">
        <f>'[1]01-Cash-Raw'!C10</f>
        <v>Salary Payment</v>
      </c>
      <c r="D10">
        <f>'[1]01-Cash-Raw'!D10</f>
        <v>0</v>
      </c>
      <c r="E10">
        <f>'[1]01-Cash-Raw'!E10</f>
        <v>49713</v>
      </c>
      <c r="F10">
        <f>'[1]01-Cash-Raw'!F10</f>
        <v>327080</v>
      </c>
      <c r="G10" t="str">
        <f>TEXT('[1]01-Cash-Hlp'!B10,"mmm")</f>
        <v>Jul</v>
      </c>
      <c r="H10">
        <f>'[1]01-Cash-Hlp'!E10-'[1]01-Cash-Hlp'!D10</f>
        <v>49713</v>
      </c>
      <c r="I10" t="str">
        <f>IF(OR('[1]01-Cash-Hlp'!D10&gt;50000,'[1]01-Cash-Hlp'!E10&gt;50000),"Large","Normal")</f>
        <v>Normal</v>
      </c>
    </row>
    <row r="11" spans="1:9" x14ac:dyDescent="0.35">
      <c r="A11" t="str">
        <f>'[1]01-Cash-Raw'!A11</f>
        <v>BNK0010</v>
      </c>
      <c r="B11" s="2">
        <f>'[1]01-Cash-Raw'!B11</f>
        <v>45855</v>
      </c>
      <c r="C11" t="str">
        <f>'[1]01-Cash-Raw'!C11</f>
        <v>Supplier Payment</v>
      </c>
      <c r="D11">
        <f>'[1]01-Cash-Raw'!D11</f>
        <v>0</v>
      </c>
      <c r="E11">
        <f>'[1]01-Cash-Raw'!E11</f>
        <v>23219</v>
      </c>
      <c r="F11">
        <f>'[1]01-Cash-Raw'!F11</f>
        <v>303861</v>
      </c>
      <c r="G11" t="str">
        <f>TEXT('[1]01-Cash-Hlp'!B11,"mmm")</f>
        <v>Jul</v>
      </c>
      <c r="H11">
        <f>'[1]01-Cash-Hlp'!E11-'[1]01-Cash-Hlp'!D11</f>
        <v>23219</v>
      </c>
      <c r="I11" t="str">
        <f>IF(OR('[1]01-Cash-Hlp'!D11&gt;50000,'[1]01-Cash-Hlp'!E11&gt;50000),"Large","Normal")</f>
        <v>Normal</v>
      </c>
    </row>
    <row r="12" spans="1:9" x14ac:dyDescent="0.35">
      <c r="A12" t="str">
        <f>'[1]01-Cash-Raw'!A12</f>
        <v>BNK0011</v>
      </c>
      <c r="B12" s="2">
        <f>'[1]01-Cash-Raw'!B12</f>
        <v>45912</v>
      </c>
      <c r="C12" t="str">
        <f>'[1]01-Cash-Raw'!C12</f>
        <v>Salary Payment</v>
      </c>
      <c r="D12">
        <f>'[1]01-Cash-Raw'!D12</f>
        <v>0</v>
      </c>
      <c r="E12">
        <f>'[1]01-Cash-Raw'!E12</f>
        <v>46355</v>
      </c>
      <c r="F12">
        <f>'[1]01-Cash-Raw'!F12</f>
        <v>257506</v>
      </c>
      <c r="G12" t="str">
        <f>TEXT('[1]01-Cash-Hlp'!B12,"mmm")</f>
        <v>Sep</v>
      </c>
      <c r="H12">
        <f>'[1]01-Cash-Hlp'!E12-'[1]01-Cash-Hlp'!D12</f>
        <v>46355</v>
      </c>
      <c r="I12" t="str">
        <f>IF(OR('[1]01-Cash-Hlp'!D12&gt;50000,'[1]01-Cash-Hlp'!E12&gt;50000),"Large","Normal")</f>
        <v>Normal</v>
      </c>
    </row>
    <row r="13" spans="1:9" x14ac:dyDescent="0.35">
      <c r="A13" t="str">
        <f>'[1]01-Cash-Raw'!A13</f>
        <v>BNK0012</v>
      </c>
      <c r="B13" s="2">
        <f>'[1]01-Cash-Raw'!B13</f>
        <v>45846</v>
      </c>
      <c r="C13" t="str">
        <f>'[1]01-Cash-Raw'!C13</f>
        <v>Bank Fee</v>
      </c>
      <c r="D13">
        <f>'[1]01-Cash-Raw'!D13</f>
        <v>0</v>
      </c>
      <c r="E13">
        <f>'[1]01-Cash-Raw'!E13</f>
        <v>35031</v>
      </c>
      <c r="F13">
        <f>'[1]01-Cash-Raw'!F13</f>
        <v>222475</v>
      </c>
      <c r="G13" t="str">
        <f>TEXT('[1]01-Cash-Hlp'!B13,"mmm")</f>
        <v>Jul</v>
      </c>
      <c r="H13">
        <f>'[1]01-Cash-Hlp'!E13-'[1]01-Cash-Hlp'!D13</f>
        <v>35031</v>
      </c>
      <c r="I13" t="str">
        <f>IF(OR('[1]01-Cash-Hlp'!D13&gt;50000,'[1]01-Cash-Hlp'!E13&gt;50000),"Large","Normal")</f>
        <v>Normal</v>
      </c>
    </row>
    <row r="14" spans="1:9" x14ac:dyDescent="0.35">
      <c r="A14" t="str">
        <f>'[1]01-Cash-Raw'!A14</f>
        <v>BNK0013</v>
      </c>
      <c r="B14" s="2">
        <f>'[1]01-Cash-Raw'!B14</f>
        <v>45700</v>
      </c>
      <c r="C14" t="str">
        <f>'[1]01-Cash-Raw'!C14</f>
        <v>Salary Payment</v>
      </c>
      <c r="D14">
        <f>'[1]01-Cash-Raw'!D14</f>
        <v>0</v>
      </c>
      <c r="E14">
        <f>'[1]01-Cash-Raw'!E14</f>
        <v>48650</v>
      </c>
      <c r="F14">
        <f>'[1]01-Cash-Raw'!F14</f>
        <v>173825</v>
      </c>
      <c r="G14" t="str">
        <f>TEXT('[1]01-Cash-Hlp'!B14,"mmm")</f>
        <v>Feb</v>
      </c>
      <c r="H14">
        <f>'[1]01-Cash-Hlp'!E14-'[1]01-Cash-Hlp'!D14</f>
        <v>48650</v>
      </c>
      <c r="I14" t="str">
        <f>IF(OR('[1]01-Cash-Hlp'!D14&gt;50000,'[1]01-Cash-Hlp'!E14&gt;50000),"Large","Normal")</f>
        <v>Normal</v>
      </c>
    </row>
    <row r="15" spans="1:9" x14ac:dyDescent="0.35">
      <c r="A15" t="str">
        <f>'[1]01-Cash-Raw'!A15</f>
        <v>BNK0014</v>
      </c>
      <c r="B15" s="2">
        <f>'[1]01-Cash-Raw'!B15</f>
        <v>45698</v>
      </c>
      <c r="C15" t="str">
        <f>'[1]01-Cash-Raw'!C15</f>
        <v>Supplier Payment</v>
      </c>
      <c r="D15">
        <f>'[1]01-Cash-Raw'!D15</f>
        <v>0</v>
      </c>
      <c r="E15">
        <f>'[1]01-Cash-Raw'!E15</f>
        <v>29220</v>
      </c>
      <c r="F15">
        <f>'[1]01-Cash-Raw'!F15</f>
        <v>144605</v>
      </c>
      <c r="G15" t="str">
        <f>TEXT('[1]01-Cash-Hlp'!B15,"mmm")</f>
        <v>Feb</v>
      </c>
      <c r="H15">
        <f>'[1]01-Cash-Hlp'!E15-'[1]01-Cash-Hlp'!D15</f>
        <v>29220</v>
      </c>
      <c r="I15" t="str">
        <f>IF(OR('[1]01-Cash-Hlp'!D15&gt;50000,'[1]01-Cash-Hlp'!E15&gt;50000),"Large","Normal")</f>
        <v>Normal</v>
      </c>
    </row>
    <row r="16" spans="1:9" x14ac:dyDescent="0.35">
      <c r="A16" t="str">
        <f>'[1]01-Cash-Raw'!A16</f>
        <v>BNK0015</v>
      </c>
      <c r="B16" s="2">
        <f>'[1]01-Cash-Raw'!B16</f>
        <v>45937</v>
      </c>
      <c r="C16" t="str">
        <f>'[1]01-Cash-Raw'!C16</f>
        <v>Bank Fee</v>
      </c>
      <c r="D16">
        <f>'[1]01-Cash-Raw'!D16</f>
        <v>0</v>
      </c>
      <c r="E16">
        <f>'[1]01-Cash-Raw'!E16</f>
        <v>20252</v>
      </c>
      <c r="F16">
        <f>'[1]01-Cash-Raw'!F16</f>
        <v>124353</v>
      </c>
      <c r="G16" t="str">
        <f>TEXT('[1]01-Cash-Hlp'!B16,"mmm")</f>
        <v>Oct</v>
      </c>
      <c r="H16">
        <f>'[1]01-Cash-Hlp'!E16-'[1]01-Cash-Hlp'!D16</f>
        <v>20252</v>
      </c>
      <c r="I16" t="str">
        <f>IF(OR('[1]01-Cash-Hlp'!D16&gt;50000,'[1]01-Cash-Hlp'!E16&gt;50000),"Large","Normal")</f>
        <v>Normal</v>
      </c>
    </row>
    <row r="17" spans="1:9" x14ac:dyDescent="0.35">
      <c r="A17" t="str">
        <f>'[1]01-Cash-Raw'!A17</f>
        <v>BNK0016</v>
      </c>
      <c r="B17" s="2">
        <f>'[1]01-Cash-Raw'!B17</f>
        <v>45710</v>
      </c>
      <c r="C17" t="str">
        <f>'[1]01-Cash-Raw'!C17</f>
        <v>Bank Fee</v>
      </c>
      <c r="D17">
        <f>'[1]01-Cash-Raw'!D17</f>
        <v>0</v>
      </c>
      <c r="E17">
        <f>'[1]01-Cash-Raw'!E17</f>
        <v>6247</v>
      </c>
      <c r="F17">
        <f>'[1]01-Cash-Raw'!F17</f>
        <v>118106</v>
      </c>
      <c r="G17" t="str">
        <f>TEXT('[1]01-Cash-Hlp'!B17,"mmm")</f>
        <v>Feb</v>
      </c>
      <c r="H17">
        <f>'[1]01-Cash-Hlp'!E17-'[1]01-Cash-Hlp'!D17</f>
        <v>6247</v>
      </c>
      <c r="I17" t="str">
        <f>IF(OR('[1]01-Cash-Hlp'!D17&gt;50000,'[1]01-Cash-Hlp'!E17&gt;50000),"Large","Normal")</f>
        <v>Normal</v>
      </c>
    </row>
    <row r="18" spans="1:9" x14ac:dyDescent="0.35">
      <c r="A18" t="str">
        <f>'[1]01-Cash-Raw'!A18</f>
        <v>BNK0017</v>
      </c>
      <c r="B18" s="2">
        <f>'[1]01-Cash-Raw'!B18</f>
        <v>45996</v>
      </c>
      <c r="C18" t="str">
        <f>'[1]01-Cash-Raw'!C18</f>
        <v>Bank Fee</v>
      </c>
      <c r="D18">
        <f>'[1]01-Cash-Raw'!D18</f>
        <v>0</v>
      </c>
      <c r="E18">
        <f>'[1]01-Cash-Raw'!E18</f>
        <v>20375</v>
      </c>
      <c r="F18">
        <f>'[1]01-Cash-Raw'!F18</f>
        <v>97731</v>
      </c>
      <c r="G18" t="str">
        <f>TEXT('[1]01-Cash-Hlp'!B18,"mmm")</f>
        <v>Dec</v>
      </c>
      <c r="H18">
        <f>'[1]01-Cash-Hlp'!E18-'[1]01-Cash-Hlp'!D18</f>
        <v>20375</v>
      </c>
      <c r="I18" t="str">
        <f>IF(OR('[1]01-Cash-Hlp'!D18&gt;50000,'[1]01-Cash-Hlp'!E18&gt;50000),"Large","Normal")</f>
        <v>Normal</v>
      </c>
    </row>
    <row r="19" spans="1:9" x14ac:dyDescent="0.35">
      <c r="A19" t="str">
        <f>'[1]01-Cash-Raw'!A19</f>
        <v>BNK0018</v>
      </c>
      <c r="B19" s="2">
        <f>'[1]01-Cash-Raw'!B19</f>
        <v>45886</v>
      </c>
      <c r="C19" t="str">
        <f>'[1]01-Cash-Raw'!C19</f>
        <v>Salary Payment</v>
      </c>
      <c r="D19">
        <f>'[1]01-Cash-Raw'!D19</f>
        <v>0</v>
      </c>
      <c r="E19">
        <f>'[1]01-Cash-Raw'!E19</f>
        <v>40493</v>
      </c>
      <c r="F19">
        <f>'[1]01-Cash-Raw'!F19</f>
        <v>57238</v>
      </c>
      <c r="G19" t="str">
        <f>TEXT('[1]01-Cash-Hlp'!B19,"mmm")</f>
        <v>Aug</v>
      </c>
      <c r="H19">
        <f>'[1]01-Cash-Hlp'!E19-'[1]01-Cash-Hlp'!D19</f>
        <v>40493</v>
      </c>
      <c r="I19" t="str">
        <f>IF(OR('[1]01-Cash-Hlp'!D19&gt;50000,'[1]01-Cash-Hlp'!E19&gt;50000),"Large","Normal")</f>
        <v>Normal</v>
      </c>
    </row>
    <row r="20" spans="1:9" x14ac:dyDescent="0.35">
      <c r="A20" t="str">
        <f>'[1]01-Cash-Raw'!A20</f>
        <v>BNK0019</v>
      </c>
      <c r="B20" s="2">
        <f>'[1]01-Cash-Raw'!B20</f>
        <v>45743</v>
      </c>
      <c r="C20" t="str">
        <f>'[1]01-Cash-Raw'!C20</f>
        <v>Salary Payment</v>
      </c>
      <c r="D20">
        <f>'[1]01-Cash-Raw'!D20</f>
        <v>0</v>
      </c>
      <c r="E20">
        <f>'[1]01-Cash-Raw'!E20</f>
        <v>46204</v>
      </c>
      <c r="F20">
        <f>'[1]01-Cash-Raw'!F20</f>
        <v>11034</v>
      </c>
      <c r="G20" t="str">
        <f>TEXT('[1]01-Cash-Hlp'!B20,"mmm")</f>
        <v>Mar</v>
      </c>
      <c r="H20">
        <f>'[1]01-Cash-Hlp'!E20-'[1]01-Cash-Hlp'!D20</f>
        <v>46204</v>
      </c>
      <c r="I20" t="str">
        <f>IF(OR('[1]01-Cash-Hlp'!D20&gt;50000,'[1]01-Cash-Hlp'!E20&gt;50000),"Large","Normal")</f>
        <v>Normal</v>
      </c>
    </row>
    <row r="21" spans="1:9" x14ac:dyDescent="0.35">
      <c r="A21" t="str">
        <f>'[1]01-Cash-Raw'!A21</f>
        <v>BNK0020</v>
      </c>
      <c r="B21" s="2">
        <f>'[1]01-Cash-Raw'!B21</f>
        <v>45837</v>
      </c>
      <c r="C21" t="str">
        <f>'[1]01-Cash-Raw'!C21</f>
        <v>Customer Receipt</v>
      </c>
      <c r="D21">
        <f>'[1]01-Cash-Raw'!D21</f>
        <v>30303</v>
      </c>
      <c r="E21">
        <f>'[1]01-Cash-Raw'!E21</f>
        <v>0</v>
      </c>
      <c r="F21">
        <f>'[1]01-Cash-Raw'!F21</f>
        <v>41337</v>
      </c>
      <c r="G21" t="str">
        <f>TEXT('[1]01-Cash-Hlp'!B21,"mmm")</f>
        <v>Jun</v>
      </c>
      <c r="H21">
        <f>'[1]01-Cash-Hlp'!E21-'[1]01-Cash-Hlp'!D21</f>
        <v>-30303</v>
      </c>
      <c r="I21" t="str">
        <f>IF(OR('[1]01-Cash-Hlp'!D21&gt;50000,'[1]01-Cash-Hlp'!E21&gt;50000),"Large","Normal")</f>
        <v>Normal</v>
      </c>
    </row>
    <row r="22" spans="1:9" x14ac:dyDescent="0.35">
      <c r="A22" t="str">
        <f>'[1]01-Cash-Raw'!A22</f>
        <v>BNK0021</v>
      </c>
      <c r="B22" s="2">
        <f>'[1]01-Cash-Raw'!B22</f>
        <v>45838</v>
      </c>
      <c r="C22" t="str">
        <f>'[1]01-Cash-Raw'!C22</f>
        <v>Salary Payment</v>
      </c>
      <c r="D22">
        <f>'[1]01-Cash-Raw'!D22</f>
        <v>0</v>
      </c>
      <c r="E22">
        <f>'[1]01-Cash-Raw'!E22</f>
        <v>41294</v>
      </c>
      <c r="F22">
        <f>'[1]01-Cash-Raw'!F22</f>
        <v>43</v>
      </c>
      <c r="G22" t="str">
        <f>TEXT('[1]01-Cash-Hlp'!B22,"mmm")</f>
        <v>Jun</v>
      </c>
      <c r="H22">
        <f>'[1]01-Cash-Hlp'!E22-'[1]01-Cash-Hlp'!D22</f>
        <v>41294</v>
      </c>
      <c r="I22" t="str">
        <f>IF(OR('[1]01-Cash-Hlp'!D22&gt;50000,'[1]01-Cash-Hlp'!E22&gt;50000),"Large","Normal")</f>
        <v>Normal</v>
      </c>
    </row>
    <row r="23" spans="1:9" x14ac:dyDescent="0.35">
      <c r="A23" t="str">
        <f>'[1]01-Cash-Raw'!A23</f>
        <v>BNK0022</v>
      </c>
      <c r="B23" s="2">
        <f>'[1]01-Cash-Raw'!B23</f>
        <v>45798</v>
      </c>
      <c r="C23" t="str">
        <f>'[1]01-Cash-Raw'!C23</f>
        <v>Customer Receipt</v>
      </c>
      <c r="D23">
        <f>'[1]01-Cash-Raw'!D23</f>
        <v>42908</v>
      </c>
      <c r="E23">
        <f>'[1]01-Cash-Raw'!E23</f>
        <v>0</v>
      </c>
      <c r="F23">
        <f>'[1]01-Cash-Raw'!F23</f>
        <v>42951</v>
      </c>
      <c r="G23" t="str">
        <f>TEXT('[1]01-Cash-Hlp'!B23,"mmm")</f>
        <v>May</v>
      </c>
      <c r="H23">
        <f>'[1]01-Cash-Hlp'!E23-'[1]01-Cash-Hlp'!D23</f>
        <v>-42908</v>
      </c>
      <c r="I23" t="str">
        <f>IF(OR('[1]01-Cash-Hlp'!D23&gt;50000,'[1]01-Cash-Hlp'!E23&gt;50000),"Large","Normal")</f>
        <v>Normal</v>
      </c>
    </row>
    <row r="24" spans="1:9" x14ac:dyDescent="0.35">
      <c r="A24" t="str">
        <f>'[1]01-Cash-Raw'!A24</f>
        <v>BNK0023</v>
      </c>
      <c r="B24" s="2">
        <f>'[1]01-Cash-Raw'!B24</f>
        <v>45696</v>
      </c>
      <c r="C24" t="str">
        <f>'[1]01-Cash-Raw'!C24</f>
        <v>Salary Payment</v>
      </c>
      <c r="D24">
        <f>'[1]01-Cash-Raw'!D24</f>
        <v>0</v>
      </c>
      <c r="E24">
        <f>'[1]01-Cash-Raw'!E24</f>
        <v>44986</v>
      </c>
      <c r="F24">
        <f>'[1]01-Cash-Raw'!F24</f>
        <v>-2035</v>
      </c>
      <c r="G24" t="str">
        <f>TEXT('[1]01-Cash-Hlp'!B24,"mmm")</f>
        <v>Feb</v>
      </c>
      <c r="H24">
        <f>'[1]01-Cash-Hlp'!E24-'[1]01-Cash-Hlp'!D24</f>
        <v>44986</v>
      </c>
      <c r="I24" t="str">
        <f>IF(OR('[1]01-Cash-Hlp'!D24&gt;50000,'[1]01-Cash-Hlp'!E24&gt;50000),"Large","Normal")</f>
        <v>Normal</v>
      </c>
    </row>
    <row r="25" spans="1:9" x14ac:dyDescent="0.35">
      <c r="A25" t="str">
        <f>'[1]01-Cash-Raw'!A25</f>
        <v>BNK0024</v>
      </c>
      <c r="B25" s="2">
        <f>'[1]01-Cash-Raw'!B25</f>
        <v>45844</v>
      </c>
      <c r="C25" t="str">
        <f>'[1]01-Cash-Raw'!C25</f>
        <v>Supplier Payment</v>
      </c>
      <c r="D25">
        <f>'[1]01-Cash-Raw'!D25</f>
        <v>0</v>
      </c>
      <c r="E25">
        <f>'[1]01-Cash-Raw'!E25</f>
        <v>34625</v>
      </c>
      <c r="F25">
        <f>'[1]01-Cash-Raw'!F25</f>
        <v>-36660</v>
      </c>
      <c r="G25" t="str">
        <f>TEXT('[1]01-Cash-Hlp'!B25,"mmm")</f>
        <v>Jul</v>
      </c>
      <c r="H25">
        <f>'[1]01-Cash-Hlp'!E25-'[1]01-Cash-Hlp'!D25</f>
        <v>34625</v>
      </c>
      <c r="I25" t="str">
        <f>IF(OR('[1]01-Cash-Hlp'!D25&gt;50000,'[1]01-Cash-Hlp'!E25&gt;50000),"Large","Normal")</f>
        <v>Normal</v>
      </c>
    </row>
    <row r="26" spans="1:9" x14ac:dyDescent="0.35">
      <c r="A26" t="str">
        <f>'[1]01-Cash-Raw'!A26</f>
        <v>BNK0025</v>
      </c>
      <c r="B26" s="2">
        <f>'[1]01-Cash-Raw'!B26</f>
        <v>45673</v>
      </c>
      <c r="C26" t="str">
        <f>'[1]01-Cash-Raw'!C26</f>
        <v>Salary Payment</v>
      </c>
      <c r="D26">
        <f>'[1]01-Cash-Raw'!D26</f>
        <v>0</v>
      </c>
      <c r="E26">
        <f>'[1]01-Cash-Raw'!E26</f>
        <v>10357</v>
      </c>
      <c r="F26">
        <f>'[1]01-Cash-Raw'!F26</f>
        <v>-47017</v>
      </c>
      <c r="G26" t="str">
        <f>TEXT('[1]01-Cash-Hlp'!B26,"mmm")</f>
        <v>Jan</v>
      </c>
      <c r="H26">
        <f>'[1]01-Cash-Hlp'!E26-'[1]01-Cash-Hlp'!D26</f>
        <v>10357</v>
      </c>
      <c r="I26" t="str">
        <f>IF(OR('[1]01-Cash-Hlp'!D26&gt;50000,'[1]01-Cash-Hlp'!E26&gt;50000),"Large","Normal")</f>
        <v>Normal</v>
      </c>
    </row>
    <row r="27" spans="1:9" x14ac:dyDescent="0.35">
      <c r="A27" t="str">
        <f>'[1]01-Cash-Raw'!A27</f>
        <v>BNK0026</v>
      </c>
      <c r="B27" s="2">
        <f>'[1]01-Cash-Raw'!B27</f>
        <v>45675</v>
      </c>
      <c r="C27" t="str">
        <f>'[1]01-Cash-Raw'!C27</f>
        <v>Customer Receipt</v>
      </c>
      <c r="D27">
        <f>'[1]01-Cash-Raw'!D27</f>
        <v>9272</v>
      </c>
      <c r="E27">
        <f>'[1]01-Cash-Raw'!E27</f>
        <v>0</v>
      </c>
      <c r="F27">
        <f>'[1]01-Cash-Raw'!F27</f>
        <v>-37745</v>
      </c>
      <c r="G27" t="str">
        <f>TEXT('[1]01-Cash-Hlp'!B27,"mmm")</f>
        <v>Jan</v>
      </c>
      <c r="H27">
        <f>'[1]01-Cash-Hlp'!E27-'[1]01-Cash-Hlp'!D27</f>
        <v>-9272</v>
      </c>
      <c r="I27" t="str">
        <f>IF(OR('[1]01-Cash-Hlp'!D27&gt;50000,'[1]01-Cash-Hlp'!E27&gt;50000),"Large","Normal")</f>
        <v>Normal</v>
      </c>
    </row>
    <row r="28" spans="1:9" x14ac:dyDescent="0.35">
      <c r="A28" t="str">
        <f>'[1]01-Cash-Raw'!A28</f>
        <v>BNK0027</v>
      </c>
      <c r="B28" s="2">
        <f>'[1]01-Cash-Raw'!B28</f>
        <v>45778</v>
      </c>
      <c r="C28" t="str">
        <f>'[1]01-Cash-Raw'!C28</f>
        <v>Bank Fee</v>
      </c>
      <c r="D28">
        <f>'[1]01-Cash-Raw'!D28</f>
        <v>0</v>
      </c>
      <c r="E28">
        <f>'[1]01-Cash-Raw'!E28</f>
        <v>43281</v>
      </c>
      <c r="F28">
        <f>'[1]01-Cash-Raw'!F28</f>
        <v>-81026</v>
      </c>
      <c r="G28" t="str">
        <f>TEXT('[1]01-Cash-Hlp'!B28,"mmm")</f>
        <v>May</v>
      </c>
      <c r="H28">
        <f>'[1]01-Cash-Hlp'!E28-'[1]01-Cash-Hlp'!D28</f>
        <v>43281</v>
      </c>
      <c r="I28" t="str">
        <f>IF(OR('[1]01-Cash-Hlp'!D28&gt;50000,'[1]01-Cash-Hlp'!E28&gt;50000),"Large","Normal")</f>
        <v>Normal</v>
      </c>
    </row>
    <row r="29" spans="1:9" x14ac:dyDescent="0.35">
      <c r="A29" t="str">
        <f>'[1]01-Cash-Raw'!A29</f>
        <v>BNK0028</v>
      </c>
      <c r="B29" s="2">
        <f>'[1]01-Cash-Raw'!B29</f>
        <v>45843</v>
      </c>
      <c r="C29" t="str">
        <f>'[1]01-Cash-Raw'!C29</f>
        <v>Customer Receipt</v>
      </c>
      <c r="D29">
        <f>'[1]01-Cash-Raw'!D29</f>
        <v>26090</v>
      </c>
      <c r="E29">
        <f>'[1]01-Cash-Raw'!E29</f>
        <v>0</v>
      </c>
      <c r="F29">
        <f>'[1]01-Cash-Raw'!F29</f>
        <v>-54936</v>
      </c>
      <c r="G29" t="str">
        <f>TEXT('[1]01-Cash-Hlp'!B29,"mmm")</f>
        <v>Jul</v>
      </c>
      <c r="H29">
        <f>'[1]01-Cash-Hlp'!E29-'[1]01-Cash-Hlp'!D29</f>
        <v>-26090</v>
      </c>
      <c r="I29" t="str">
        <f>IF(OR('[1]01-Cash-Hlp'!D29&gt;50000,'[1]01-Cash-Hlp'!E29&gt;50000),"Large","Normal")</f>
        <v>Normal</v>
      </c>
    </row>
    <row r="30" spans="1:9" x14ac:dyDescent="0.35">
      <c r="A30" t="str">
        <f>'[1]01-Cash-Raw'!A30</f>
        <v>BNK0029</v>
      </c>
      <c r="B30" s="2">
        <f>'[1]01-Cash-Raw'!B30</f>
        <v>45967</v>
      </c>
      <c r="C30" t="str">
        <f>'[1]01-Cash-Raw'!C30</f>
        <v>Salary Payment</v>
      </c>
      <c r="D30">
        <f>'[1]01-Cash-Raw'!D30</f>
        <v>0</v>
      </c>
      <c r="E30">
        <f>'[1]01-Cash-Raw'!E30</f>
        <v>11055</v>
      </c>
      <c r="F30">
        <f>'[1]01-Cash-Raw'!F30</f>
        <v>-65991</v>
      </c>
      <c r="G30" t="str">
        <f>TEXT('[1]01-Cash-Hlp'!B30,"mmm")</f>
        <v>Nov</v>
      </c>
      <c r="H30">
        <f>'[1]01-Cash-Hlp'!E30-'[1]01-Cash-Hlp'!D30</f>
        <v>11055</v>
      </c>
      <c r="I30" t="str">
        <f>IF(OR('[1]01-Cash-Hlp'!D30&gt;50000,'[1]01-Cash-Hlp'!E30&gt;50000),"Large","Normal")</f>
        <v>Normal</v>
      </c>
    </row>
    <row r="31" spans="1:9" x14ac:dyDescent="0.35">
      <c r="A31" t="str">
        <f>'[1]01-Cash-Raw'!A31</f>
        <v>BNK0030</v>
      </c>
      <c r="B31" s="2">
        <f>'[1]01-Cash-Raw'!B31</f>
        <v>45847</v>
      </c>
      <c r="C31" t="str">
        <f>'[1]01-Cash-Raw'!C31</f>
        <v>Salary Payment</v>
      </c>
      <c r="D31">
        <f>'[1]01-Cash-Raw'!D31</f>
        <v>0</v>
      </c>
      <c r="E31">
        <f>'[1]01-Cash-Raw'!E31</f>
        <v>25380</v>
      </c>
      <c r="F31">
        <f>'[1]01-Cash-Raw'!F31</f>
        <v>-91371</v>
      </c>
      <c r="G31" t="str">
        <f>TEXT('[1]01-Cash-Hlp'!B31,"mmm")</f>
        <v>Jul</v>
      </c>
      <c r="H31">
        <f>'[1]01-Cash-Hlp'!E31-'[1]01-Cash-Hlp'!D31</f>
        <v>25380</v>
      </c>
      <c r="I31" t="str">
        <f>IF(OR('[1]01-Cash-Hlp'!D31&gt;50000,'[1]01-Cash-Hlp'!E31&gt;50000),"Large","Normal")</f>
        <v>Normal</v>
      </c>
    </row>
    <row r="32" spans="1:9" x14ac:dyDescent="0.35">
      <c r="A32" t="str">
        <f>'[1]01-Cash-Raw'!A32</f>
        <v>BNK0031</v>
      </c>
      <c r="B32" s="2">
        <f>'[1]01-Cash-Raw'!B32</f>
        <v>45697</v>
      </c>
      <c r="C32" t="str">
        <f>'[1]01-Cash-Raw'!C32</f>
        <v>Supplier Payment</v>
      </c>
      <c r="D32">
        <f>'[1]01-Cash-Raw'!D32</f>
        <v>0</v>
      </c>
      <c r="E32">
        <f>'[1]01-Cash-Raw'!E32</f>
        <v>38612</v>
      </c>
      <c r="F32">
        <f>'[1]01-Cash-Raw'!F32</f>
        <v>-129983</v>
      </c>
      <c r="G32" t="str">
        <f>TEXT('[1]01-Cash-Hlp'!B32,"mmm")</f>
        <v>Feb</v>
      </c>
      <c r="H32">
        <f>'[1]01-Cash-Hlp'!E32-'[1]01-Cash-Hlp'!D32</f>
        <v>38612</v>
      </c>
      <c r="I32" t="str">
        <f>IF(OR('[1]01-Cash-Hlp'!D32&gt;50000,'[1]01-Cash-Hlp'!E32&gt;50000),"Large","Normal")</f>
        <v>Normal</v>
      </c>
    </row>
    <row r="33" spans="1:9" x14ac:dyDescent="0.35">
      <c r="A33" t="str">
        <f>'[1]01-Cash-Raw'!A33</f>
        <v>BNK0032</v>
      </c>
      <c r="B33" s="2">
        <f>'[1]01-Cash-Raw'!B33</f>
        <v>45929</v>
      </c>
      <c r="C33" t="str">
        <f>'[1]01-Cash-Raw'!C33</f>
        <v>Salary Payment</v>
      </c>
      <c r="D33">
        <f>'[1]01-Cash-Raw'!D33</f>
        <v>0</v>
      </c>
      <c r="E33">
        <f>'[1]01-Cash-Raw'!E33</f>
        <v>25048</v>
      </c>
      <c r="F33">
        <f>'[1]01-Cash-Raw'!F33</f>
        <v>-155031</v>
      </c>
      <c r="G33" t="str">
        <f>TEXT('[1]01-Cash-Hlp'!B33,"mmm")</f>
        <v>Sep</v>
      </c>
      <c r="H33">
        <f>'[1]01-Cash-Hlp'!E33-'[1]01-Cash-Hlp'!D33</f>
        <v>25048</v>
      </c>
      <c r="I33" t="str">
        <f>IF(OR('[1]01-Cash-Hlp'!D33&gt;50000,'[1]01-Cash-Hlp'!E33&gt;50000),"Large","Normal")</f>
        <v>Normal</v>
      </c>
    </row>
    <row r="34" spans="1:9" x14ac:dyDescent="0.35">
      <c r="A34" t="str">
        <f>'[1]01-Cash-Raw'!A34</f>
        <v>BNK0033</v>
      </c>
      <c r="B34" s="2">
        <f>'[1]01-Cash-Raw'!B34</f>
        <v>45818</v>
      </c>
      <c r="C34" t="str">
        <f>'[1]01-Cash-Raw'!C34</f>
        <v>Bank Fee</v>
      </c>
      <c r="D34">
        <f>'[1]01-Cash-Raw'!D34</f>
        <v>0</v>
      </c>
      <c r="E34">
        <f>'[1]01-Cash-Raw'!E34</f>
        <v>43569</v>
      </c>
      <c r="F34">
        <f>'[1]01-Cash-Raw'!F34</f>
        <v>-198600</v>
      </c>
      <c r="G34" t="str">
        <f>TEXT('[1]01-Cash-Hlp'!B34,"mmm")</f>
        <v>Jun</v>
      </c>
      <c r="H34">
        <f>'[1]01-Cash-Hlp'!E34-'[1]01-Cash-Hlp'!D34</f>
        <v>43569</v>
      </c>
      <c r="I34" t="str">
        <f>IF(OR('[1]01-Cash-Hlp'!D34&gt;50000,'[1]01-Cash-Hlp'!E34&gt;50000),"Large","Normal")</f>
        <v>Normal</v>
      </c>
    </row>
    <row r="35" spans="1:9" x14ac:dyDescent="0.35">
      <c r="A35" t="str">
        <f>'[1]01-Cash-Raw'!A35</f>
        <v>BNK0034</v>
      </c>
      <c r="B35" s="2">
        <f>'[1]01-Cash-Raw'!B35</f>
        <v>45785</v>
      </c>
      <c r="C35" t="str">
        <f>'[1]01-Cash-Raw'!C35</f>
        <v>Customer Receipt</v>
      </c>
      <c r="D35">
        <f>'[1]01-Cash-Raw'!D35</f>
        <v>8434</v>
      </c>
      <c r="E35">
        <f>'[1]01-Cash-Raw'!E35</f>
        <v>0</v>
      </c>
      <c r="F35">
        <f>'[1]01-Cash-Raw'!F35</f>
        <v>-190166</v>
      </c>
      <c r="G35" t="str">
        <f>TEXT('[1]01-Cash-Hlp'!B35,"mmm")</f>
        <v>May</v>
      </c>
      <c r="H35">
        <f>'[1]01-Cash-Hlp'!E35-'[1]01-Cash-Hlp'!D35</f>
        <v>-8434</v>
      </c>
      <c r="I35" t="str">
        <f>IF(OR('[1]01-Cash-Hlp'!D35&gt;50000,'[1]01-Cash-Hlp'!E35&gt;50000),"Large","Normal")</f>
        <v>Normal</v>
      </c>
    </row>
    <row r="36" spans="1:9" x14ac:dyDescent="0.35">
      <c r="A36" t="str">
        <f>'[1]01-Cash-Raw'!A36</f>
        <v>BNK0035</v>
      </c>
      <c r="B36" s="2">
        <f>'[1]01-Cash-Raw'!B36</f>
        <v>45753</v>
      </c>
      <c r="C36" t="str">
        <f>'[1]01-Cash-Raw'!C36</f>
        <v>Salary Payment</v>
      </c>
      <c r="D36">
        <f>'[1]01-Cash-Raw'!D36</f>
        <v>0</v>
      </c>
      <c r="E36">
        <f>'[1]01-Cash-Raw'!E36</f>
        <v>33705</v>
      </c>
      <c r="F36">
        <f>'[1]01-Cash-Raw'!F36</f>
        <v>-223871</v>
      </c>
      <c r="G36" t="str">
        <f>TEXT('[1]01-Cash-Hlp'!B36,"mmm")</f>
        <v>Apr</v>
      </c>
      <c r="H36">
        <f>'[1]01-Cash-Hlp'!E36-'[1]01-Cash-Hlp'!D36</f>
        <v>33705</v>
      </c>
      <c r="I36" t="str">
        <f>IF(OR('[1]01-Cash-Hlp'!D36&gt;50000,'[1]01-Cash-Hlp'!E36&gt;50000),"Large","Normal")</f>
        <v>Normal</v>
      </c>
    </row>
    <row r="37" spans="1:9" x14ac:dyDescent="0.35">
      <c r="A37" t="str">
        <f>'[1]01-Cash-Raw'!A37</f>
        <v>BNK0036</v>
      </c>
      <c r="B37" s="2">
        <f>'[1]01-Cash-Raw'!B37</f>
        <v>45945</v>
      </c>
      <c r="C37" t="str">
        <f>'[1]01-Cash-Raw'!C37</f>
        <v>Bank Fee</v>
      </c>
      <c r="D37">
        <f>'[1]01-Cash-Raw'!D37</f>
        <v>0</v>
      </c>
      <c r="E37">
        <f>'[1]01-Cash-Raw'!E37</f>
        <v>8717</v>
      </c>
      <c r="F37">
        <f>'[1]01-Cash-Raw'!F37</f>
        <v>-232588</v>
      </c>
      <c r="G37" t="str">
        <f>TEXT('[1]01-Cash-Hlp'!B37,"mmm")</f>
        <v>Oct</v>
      </c>
      <c r="H37">
        <f>'[1]01-Cash-Hlp'!E37-'[1]01-Cash-Hlp'!D37</f>
        <v>8717</v>
      </c>
      <c r="I37" t="str">
        <f>IF(OR('[1]01-Cash-Hlp'!D37&gt;50000,'[1]01-Cash-Hlp'!E37&gt;50000),"Large","Normal")</f>
        <v>Normal</v>
      </c>
    </row>
    <row r="38" spans="1:9" x14ac:dyDescent="0.35">
      <c r="A38" t="str">
        <f>'[1]01-Cash-Raw'!A38</f>
        <v>BNK0037</v>
      </c>
      <c r="B38" s="2">
        <f>'[1]01-Cash-Raw'!B38</f>
        <v>45791</v>
      </c>
      <c r="C38" t="str">
        <f>'[1]01-Cash-Raw'!C38</f>
        <v>Salary Payment</v>
      </c>
      <c r="D38">
        <f>'[1]01-Cash-Raw'!D38</f>
        <v>0</v>
      </c>
      <c r="E38">
        <f>'[1]01-Cash-Raw'!E38</f>
        <v>47139</v>
      </c>
      <c r="F38">
        <f>'[1]01-Cash-Raw'!F38</f>
        <v>-279727</v>
      </c>
      <c r="G38" t="str">
        <f>TEXT('[1]01-Cash-Hlp'!B38,"mmm")</f>
        <v>May</v>
      </c>
      <c r="H38">
        <f>'[1]01-Cash-Hlp'!E38-'[1]01-Cash-Hlp'!D38</f>
        <v>47139</v>
      </c>
      <c r="I38" t="str">
        <f>IF(OR('[1]01-Cash-Hlp'!D38&gt;50000,'[1]01-Cash-Hlp'!E38&gt;50000),"Large","Normal")</f>
        <v>Normal</v>
      </c>
    </row>
    <row r="39" spans="1:9" x14ac:dyDescent="0.35">
      <c r="A39" t="str">
        <f>'[1]01-Cash-Raw'!A39</f>
        <v>BNK0038</v>
      </c>
      <c r="B39" s="2">
        <f>'[1]01-Cash-Raw'!B39</f>
        <v>45767</v>
      </c>
      <c r="C39" t="str">
        <f>'[1]01-Cash-Raw'!C39</f>
        <v>Bank Fee</v>
      </c>
      <c r="D39">
        <f>'[1]01-Cash-Raw'!D39</f>
        <v>0</v>
      </c>
      <c r="E39">
        <f>'[1]01-Cash-Raw'!E39</f>
        <v>41099</v>
      </c>
      <c r="F39">
        <f>'[1]01-Cash-Raw'!F39</f>
        <v>-320826</v>
      </c>
      <c r="G39" t="str">
        <f>TEXT('[1]01-Cash-Hlp'!B39,"mmm")</f>
        <v>Apr</v>
      </c>
      <c r="H39">
        <f>'[1]01-Cash-Hlp'!E39-'[1]01-Cash-Hlp'!D39</f>
        <v>41099</v>
      </c>
      <c r="I39" t="str">
        <f>IF(OR('[1]01-Cash-Hlp'!D39&gt;50000,'[1]01-Cash-Hlp'!E39&gt;50000),"Large","Normal")</f>
        <v>Normal</v>
      </c>
    </row>
    <row r="40" spans="1:9" x14ac:dyDescent="0.35">
      <c r="A40" t="str">
        <f>'[1]01-Cash-Raw'!A40</f>
        <v>BNK0039</v>
      </c>
      <c r="B40" s="2">
        <f>'[1]01-Cash-Raw'!B40</f>
        <v>46013</v>
      </c>
      <c r="C40" t="str">
        <f>'[1]01-Cash-Raw'!C40</f>
        <v>Supplier Payment</v>
      </c>
      <c r="D40">
        <f>'[1]01-Cash-Raw'!D40</f>
        <v>0</v>
      </c>
      <c r="E40">
        <f>'[1]01-Cash-Raw'!E40</f>
        <v>33191</v>
      </c>
      <c r="F40">
        <f>'[1]01-Cash-Raw'!F40</f>
        <v>-354017</v>
      </c>
      <c r="G40" t="str">
        <f>TEXT('[1]01-Cash-Hlp'!B40,"mmm")</f>
        <v>Dec</v>
      </c>
      <c r="H40">
        <f>'[1]01-Cash-Hlp'!E40-'[1]01-Cash-Hlp'!D40</f>
        <v>33191</v>
      </c>
      <c r="I40" t="str">
        <f>IF(OR('[1]01-Cash-Hlp'!D40&gt;50000,'[1]01-Cash-Hlp'!E40&gt;50000),"Large","Normal")</f>
        <v>Normal</v>
      </c>
    </row>
    <row r="41" spans="1:9" x14ac:dyDescent="0.35">
      <c r="A41" t="str">
        <f>'[1]01-Cash-Raw'!A41</f>
        <v>BNK0040</v>
      </c>
      <c r="B41" s="2">
        <f>'[1]01-Cash-Raw'!B41</f>
        <v>45720</v>
      </c>
      <c r="C41" t="str">
        <f>'[1]01-Cash-Raw'!C41</f>
        <v>Customer Receipt</v>
      </c>
      <c r="D41">
        <f>'[1]01-Cash-Raw'!D41</f>
        <v>9895</v>
      </c>
      <c r="E41">
        <f>'[1]01-Cash-Raw'!E41</f>
        <v>0</v>
      </c>
      <c r="F41">
        <f>'[1]01-Cash-Raw'!F41</f>
        <v>-344122</v>
      </c>
      <c r="G41" t="str">
        <f>TEXT('[1]01-Cash-Hlp'!B41,"mmm")</f>
        <v>Mar</v>
      </c>
      <c r="H41">
        <f>'[1]01-Cash-Hlp'!E41-'[1]01-Cash-Hlp'!D41</f>
        <v>-9895</v>
      </c>
      <c r="I41" t="str">
        <f>IF(OR('[1]01-Cash-Hlp'!D41&gt;50000,'[1]01-Cash-Hlp'!E41&gt;50000),"Large","Normal")</f>
        <v>Normal</v>
      </c>
    </row>
    <row r="42" spans="1:9" x14ac:dyDescent="0.35">
      <c r="A42" t="str">
        <f>'[1]01-Cash-Raw'!A42</f>
        <v>BNK0041</v>
      </c>
      <c r="B42" s="2">
        <f>'[1]01-Cash-Raw'!B42</f>
        <v>45889</v>
      </c>
      <c r="C42" t="str">
        <f>'[1]01-Cash-Raw'!C42</f>
        <v>Salary Payment</v>
      </c>
      <c r="D42">
        <f>'[1]01-Cash-Raw'!D42</f>
        <v>0</v>
      </c>
      <c r="E42">
        <f>'[1]01-Cash-Raw'!E42</f>
        <v>12315</v>
      </c>
      <c r="F42">
        <f>'[1]01-Cash-Raw'!F42</f>
        <v>-356437</v>
      </c>
      <c r="G42" t="str">
        <f>TEXT('[1]01-Cash-Hlp'!B42,"mmm")</f>
        <v>Aug</v>
      </c>
      <c r="H42">
        <f>'[1]01-Cash-Hlp'!E42-'[1]01-Cash-Hlp'!D42</f>
        <v>12315</v>
      </c>
      <c r="I42" t="str">
        <f>IF(OR('[1]01-Cash-Hlp'!D42&gt;50000,'[1]01-Cash-Hlp'!E42&gt;50000),"Large","Normal")</f>
        <v>Normal</v>
      </c>
    </row>
    <row r="43" spans="1:9" x14ac:dyDescent="0.35">
      <c r="A43" t="str">
        <f>'[1]01-Cash-Raw'!A43</f>
        <v>BNK0042</v>
      </c>
      <c r="B43" s="2">
        <f>'[1]01-Cash-Raw'!B43</f>
        <v>45702</v>
      </c>
      <c r="C43" t="str">
        <f>'[1]01-Cash-Raw'!C43</f>
        <v>Bank Fee</v>
      </c>
      <c r="D43">
        <f>'[1]01-Cash-Raw'!D43</f>
        <v>0</v>
      </c>
      <c r="E43">
        <f>'[1]01-Cash-Raw'!E43</f>
        <v>45690</v>
      </c>
      <c r="F43">
        <f>'[1]01-Cash-Raw'!F43</f>
        <v>-402127</v>
      </c>
      <c r="G43" t="str">
        <f>TEXT('[1]01-Cash-Hlp'!B43,"mmm")</f>
        <v>Feb</v>
      </c>
      <c r="H43">
        <f>'[1]01-Cash-Hlp'!E43-'[1]01-Cash-Hlp'!D43</f>
        <v>45690</v>
      </c>
      <c r="I43" t="str">
        <f>IF(OR('[1]01-Cash-Hlp'!D43&gt;50000,'[1]01-Cash-Hlp'!E43&gt;50000),"Large","Normal")</f>
        <v>Normal</v>
      </c>
    </row>
    <row r="44" spans="1:9" x14ac:dyDescent="0.35">
      <c r="A44" t="str">
        <f>'[1]01-Cash-Raw'!A44</f>
        <v>BNK0043</v>
      </c>
      <c r="B44" s="2">
        <f>'[1]01-Cash-Raw'!B44</f>
        <v>45999</v>
      </c>
      <c r="C44" t="str">
        <f>'[1]01-Cash-Raw'!C44</f>
        <v>Customer Receipt</v>
      </c>
      <c r="D44">
        <f>'[1]01-Cash-Raw'!D44</f>
        <v>23768</v>
      </c>
      <c r="E44">
        <f>'[1]01-Cash-Raw'!E44</f>
        <v>0</v>
      </c>
      <c r="F44">
        <f>'[1]01-Cash-Raw'!F44</f>
        <v>-378359</v>
      </c>
      <c r="G44" t="str">
        <f>TEXT('[1]01-Cash-Hlp'!B44,"mmm")</f>
        <v>Dec</v>
      </c>
      <c r="H44">
        <f>'[1]01-Cash-Hlp'!E44-'[1]01-Cash-Hlp'!D44</f>
        <v>-23768</v>
      </c>
      <c r="I44" t="str">
        <f>IF(OR('[1]01-Cash-Hlp'!D44&gt;50000,'[1]01-Cash-Hlp'!E44&gt;50000),"Large","Normal")</f>
        <v>Normal</v>
      </c>
    </row>
    <row r="45" spans="1:9" x14ac:dyDescent="0.35">
      <c r="A45" t="str">
        <f>'[1]01-Cash-Raw'!A45</f>
        <v>BNK0044</v>
      </c>
      <c r="B45" s="2">
        <f>'[1]01-Cash-Raw'!B45</f>
        <v>45939</v>
      </c>
      <c r="C45" t="str">
        <f>'[1]01-Cash-Raw'!C45</f>
        <v>Bank Fee</v>
      </c>
      <c r="D45">
        <f>'[1]01-Cash-Raw'!D45</f>
        <v>0</v>
      </c>
      <c r="E45">
        <f>'[1]01-Cash-Raw'!E45</f>
        <v>36531</v>
      </c>
      <c r="F45">
        <f>'[1]01-Cash-Raw'!F45</f>
        <v>-414890</v>
      </c>
      <c r="G45" t="str">
        <f>TEXT('[1]01-Cash-Hlp'!B45,"mmm")</f>
        <v>Oct</v>
      </c>
      <c r="H45">
        <f>'[1]01-Cash-Hlp'!E45-'[1]01-Cash-Hlp'!D45</f>
        <v>36531</v>
      </c>
      <c r="I45" t="str">
        <f>IF(OR('[1]01-Cash-Hlp'!D45&gt;50000,'[1]01-Cash-Hlp'!E45&gt;50000),"Large","Normal")</f>
        <v>Normal</v>
      </c>
    </row>
    <row r="46" spans="1:9" x14ac:dyDescent="0.35">
      <c r="A46" t="str">
        <f>'[1]01-Cash-Raw'!A46</f>
        <v>BNK0045</v>
      </c>
      <c r="B46" s="2">
        <f>'[1]01-Cash-Raw'!B46</f>
        <v>45811</v>
      </c>
      <c r="C46" t="str">
        <f>'[1]01-Cash-Raw'!C46</f>
        <v>Supplier Payment</v>
      </c>
      <c r="D46">
        <f>'[1]01-Cash-Raw'!D46</f>
        <v>0</v>
      </c>
      <c r="E46">
        <f>'[1]01-Cash-Raw'!E46</f>
        <v>11322</v>
      </c>
      <c r="F46">
        <f>'[1]01-Cash-Raw'!F46</f>
        <v>-426212</v>
      </c>
      <c r="G46" t="str">
        <f>TEXT('[1]01-Cash-Hlp'!B46,"mmm")</f>
        <v>Jun</v>
      </c>
      <c r="H46">
        <f>'[1]01-Cash-Hlp'!E46-'[1]01-Cash-Hlp'!D46</f>
        <v>11322</v>
      </c>
      <c r="I46" t="str">
        <f>IF(OR('[1]01-Cash-Hlp'!D46&gt;50000,'[1]01-Cash-Hlp'!E46&gt;50000),"Large","Normal")</f>
        <v>Normal</v>
      </c>
    </row>
    <row r="47" spans="1:9" x14ac:dyDescent="0.35">
      <c r="A47" t="str">
        <f>'[1]01-Cash-Raw'!A47</f>
        <v>BNK0046</v>
      </c>
      <c r="B47" s="2">
        <f>'[1]01-Cash-Raw'!B47</f>
        <v>45843</v>
      </c>
      <c r="C47" t="str">
        <f>'[1]01-Cash-Raw'!C47</f>
        <v>Supplier Payment</v>
      </c>
      <c r="D47">
        <f>'[1]01-Cash-Raw'!D47</f>
        <v>0</v>
      </c>
      <c r="E47">
        <f>'[1]01-Cash-Raw'!E47</f>
        <v>34341</v>
      </c>
      <c r="F47">
        <f>'[1]01-Cash-Raw'!F47</f>
        <v>-460553</v>
      </c>
      <c r="G47" t="str">
        <f>TEXT('[1]01-Cash-Hlp'!B47,"mmm")</f>
        <v>Jul</v>
      </c>
      <c r="H47">
        <f>'[1]01-Cash-Hlp'!E47-'[1]01-Cash-Hlp'!D47</f>
        <v>34341</v>
      </c>
      <c r="I47" t="str">
        <f>IF(OR('[1]01-Cash-Hlp'!D47&gt;50000,'[1]01-Cash-Hlp'!E47&gt;50000),"Large","Normal")</f>
        <v>Normal</v>
      </c>
    </row>
    <row r="48" spans="1:9" x14ac:dyDescent="0.35">
      <c r="A48" t="str">
        <f>'[1]01-Cash-Raw'!A48</f>
        <v>BNK0047</v>
      </c>
      <c r="B48" s="2">
        <f>'[1]01-Cash-Raw'!B48</f>
        <v>45720</v>
      </c>
      <c r="C48" t="str">
        <f>'[1]01-Cash-Raw'!C48</f>
        <v>Supplier Payment</v>
      </c>
      <c r="D48">
        <f>'[1]01-Cash-Raw'!D48</f>
        <v>0</v>
      </c>
      <c r="E48">
        <f>'[1]01-Cash-Raw'!E48</f>
        <v>14171</v>
      </c>
      <c r="F48">
        <f>'[1]01-Cash-Raw'!F48</f>
        <v>-474724</v>
      </c>
      <c r="G48" t="str">
        <f>TEXT('[1]01-Cash-Hlp'!B48,"mmm")</f>
        <v>Mar</v>
      </c>
      <c r="H48">
        <f>'[1]01-Cash-Hlp'!E48-'[1]01-Cash-Hlp'!D48</f>
        <v>14171</v>
      </c>
      <c r="I48" t="str">
        <f>IF(OR('[1]01-Cash-Hlp'!D48&gt;50000,'[1]01-Cash-Hlp'!E48&gt;50000),"Large","Normal")</f>
        <v>Normal</v>
      </c>
    </row>
    <row r="49" spans="1:9" x14ac:dyDescent="0.35">
      <c r="A49" t="str">
        <f>'[1]01-Cash-Raw'!A49</f>
        <v>BNK0048</v>
      </c>
      <c r="B49" s="2">
        <f>'[1]01-Cash-Raw'!B49</f>
        <v>45779</v>
      </c>
      <c r="C49" t="str">
        <f>'[1]01-Cash-Raw'!C49</f>
        <v>Customer Receipt</v>
      </c>
      <c r="D49">
        <f>'[1]01-Cash-Raw'!D49</f>
        <v>33376</v>
      </c>
      <c r="E49">
        <f>'[1]01-Cash-Raw'!E49</f>
        <v>0</v>
      </c>
      <c r="F49">
        <f>'[1]01-Cash-Raw'!F49</f>
        <v>-441348</v>
      </c>
      <c r="G49" t="str">
        <f>TEXT('[1]01-Cash-Hlp'!B49,"mmm")</f>
        <v>May</v>
      </c>
      <c r="H49">
        <f>'[1]01-Cash-Hlp'!E49-'[1]01-Cash-Hlp'!D49</f>
        <v>-33376</v>
      </c>
      <c r="I49" t="str">
        <f>IF(OR('[1]01-Cash-Hlp'!D49&gt;50000,'[1]01-Cash-Hlp'!E49&gt;50000),"Large","Normal")</f>
        <v>Normal</v>
      </c>
    </row>
    <row r="50" spans="1:9" x14ac:dyDescent="0.35">
      <c r="A50" t="str">
        <f>'[1]01-Cash-Raw'!A50</f>
        <v>BNK0049</v>
      </c>
      <c r="B50" s="2">
        <f>'[1]01-Cash-Raw'!B50</f>
        <v>45842</v>
      </c>
      <c r="C50" t="str">
        <f>'[1]01-Cash-Raw'!C50</f>
        <v>Bank Fee</v>
      </c>
      <c r="D50">
        <f>'[1]01-Cash-Raw'!D50</f>
        <v>0</v>
      </c>
      <c r="E50">
        <f>'[1]01-Cash-Raw'!E50</f>
        <v>37308</v>
      </c>
      <c r="F50">
        <f>'[1]01-Cash-Raw'!F50</f>
        <v>-478656</v>
      </c>
      <c r="G50" t="str">
        <f>TEXT('[1]01-Cash-Hlp'!B50,"mmm")</f>
        <v>Jul</v>
      </c>
      <c r="H50">
        <f>'[1]01-Cash-Hlp'!E50-'[1]01-Cash-Hlp'!D50</f>
        <v>37308</v>
      </c>
      <c r="I50" t="str">
        <f>IF(OR('[1]01-Cash-Hlp'!D50&gt;50000,'[1]01-Cash-Hlp'!E50&gt;50000),"Large","Normal")</f>
        <v>Normal</v>
      </c>
    </row>
    <row r="51" spans="1:9" x14ac:dyDescent="0.35">
      <c r="A51" t="str">
        <f>'[1]01-Cash-Raw'!A51</f>
        <v>BNK0050</v>
      </c>
      <c r="B51" s="2">
        <f>'[1]01-Cash-Raw'!B51</f>
        <v>45897</v>
      </c>
      <c r="C51" t="str">
        <f>'[1]01-Cash-Raw'!C51</f>
        <v>Supplier Payment</v>
      </c>
      <c r="D51">
        <f>'[1]01-Cash-Raw'!D51</f>
        <v>0</v>
      </c>
      <c r="E51">
        <f>'[1]01-Cash-Raw'!E51</f>
        <v>37152</v>
      </c>
      <c r="F51">
        <f>'[1]01-Cash-Raw'!F51</f>
        <v>-515808</v>
      </c>
      <c r="G51" t="str">
        <f>TEXT('[1]01-Cash-Hlp'!B51,"mmm")</f>
        <v>Aug</v>
      </c>
      <c r="H51">
        <f>'[1]01-Cash-Hlp'!E51-'[1]01-Cash-Hlp'!D51</f>
        <v>37152</v>
      </c>
      <c r="I51" t="str">
        <f>IF(OR('[1]01-Cash-Hlp'!D51&gt;50000,'[1]01-Cash-Hlp'!E51&gt;50000),"Large","Normal")</f>
        <v>Normal</v>
      </c>
    </row>
    <row r="52" spans="1:9" x14ac:dyDescent="0.35">
      <c r="A52" t="str">
        <f>'[1]01-Cash-Raw'!A52</f>
        <v>BNK0051</v>
      </c>
      <c r="B52" s="2">
        <f>'[1]01-Cash-Raw'!B52</f>
        <v>45971</v>
      </c>
      <c r="C52" t="str">
        <f>'[1]01-Cash-Raw'!C52</f>
        <v>Customer Receipt</v>
      </c>
      <c r="D52">
        <f>'[1]01-Cash-Raw'!D52</f>
        <v>6650</v>
      </c>
      <c r="E52">
        <f>'[1]01-Cash-Raw'!E52</f>
        <v>0</v>
      </c>
      <c r="F52">
        <f>'[1]01-Cash-Raw'!F52</f>
        <v>-509158</v>
      </c>
      <c r="G52" t="str">
        <f>TEXT('[1]01-Cash-Hlp'!B52,"mmm")</f>
        <v>Nov</v>
      </c>
      <c r="H52">
        <f>'[1]01-Cash-Hlp'!E52-'[1]01-Cash-Hlp'!D52</f>
        <v>-6650</v>
      </c>
      <c r="I52" t="str">
        <f>IF(OR('[1]01-Cash-Hlp'!D52&gt;50000,'[1]01-Cash-Hlp'!E52&gt;50000),"Large","Normal")</f>
        <v>Normal</v>
      </c>
    </row>
    <row r="53" spans="1:9" x14ac:dyDescent="0.35">
      <c r="A53" t="str">
        <f>'[1]01-Cash-Raw'!A53</f>
        <v>BNK0052</v>
      </c>
      <c r="B53" s="2">
        <f>'[1]01-Cash-Raw'!B53</f>
        <v>45816</v>
      </c>
      <c r="C53" t="str">
        <f>'[1]01-Cash-Raw'!C53</f>
        <v>Salary Payment</v>
      </c>
      <c r="D53">
        <f>'[1]01-Cash-Raw'!D53</f>
        <v>0</v>
      </c>
      <c r="E53">
        <f>'[1]01-Cash-Raw'!E53</f>
        <v>27093</v>
      </c>
      <c r="F53">
        <f>'[1]01-Cash-Raw'!F53</f>
        <v>-536251</v>
      </c>
      <c r="G53" t="str">
        <f>TEXT('[1]01-Cash-Hlp'!B53,"mmm")</f>
        <v>Jun</v>
      </c>
      <c r="H53">
        <f>'[1]01-Cash-Hlp'!E53-'[1]01-Cash-Hlp'!D53</f>
        <v>27093</v>
      </c>
      <c r="I53" t="str">
        <f>IF(OR('[1]01-Cash-Hlp'!D53&gt;50000,'[1]01-Cash-Hlp'!E53&gt;50000),"Large","Normal")</f>
        <v>Normal</v>
      </c>
    </row>
    <row r="54" spans="1:9" x14ac:dyDescent="0.35">
      <c r="A54" t="str">
        <f>'[1]01-Cash-Raw'!A54</f>
        <v>BNK0053</v>
      </c>
      <c r="B54" s="2">
        <f>'[1]01-Cash-Raw'!B54</f>
        <v>45927</v>
      </c>
      <c r="C54" t="str">
        <f>'[1]01-Cash-Raw'!C54</f>
        <v>Salary Payment</v>
      </c>
      <c r="D54">
        <f>'[1]01-Cash-Raw'!D54</f>
        <v>0</v>
      </c>
      <c r="E54">
        <f>'[1]01-Cash-Raw'!E54</f>
        <v>27921</v>
      </c>
      <c r="F54">
        <f>'[1]01-Cash-Raw'!F54</f>
        <v>-564172</v>
      </c>
      <c r="G54" t="str">
        <f>TEXT('[1]01-Cash-Hlp'!B54,"mmm")</f>
        <v>Sep</v>
      </c>
      <c r="H54">
        <f>'[1]01-Cash-Hlp'!E54-'[1]01-Cash-Hlp'!D54</f>
        <v>27921</v>
      </c>
      <c r="I54" t="str">
        <f>IF(OR('[1]01-Cash-Hlp'!D54&gt;50000,'[1]01-Cash-Hlp'!E54&gt;50000),"Large","Normal")</f>
        <v>Normal</v>
      </c>
    </row>
    <row r="55" spans="1:9" x14ac:dyDescent="0.35">
      <c r="A55" t="str">
        <f>'[1]01-Cash-Raw'!A55</f>
        <v>BNK0054</v>
      </c>
      <c r="B55" s="2">
        <f>'[1]01-Cash-Raw'!B55</f>
        <v>45952</v>
      </c>
      <c r="C55" t="str">
        <f>'[1]01-Cash-Raw'!C55</f>
        <v>Supplier Payment</v>
      </c>
      <c r="D55">
        <f>'[1]01-Cash-Raw'!D55</f>
        <v>0</v>
      </c>
      <c r="E55">
        <f>'[1]01-Cash-Raw'!E55</f>
        <v>5833</v>
      </c>
      <c r="F55">
        <f>'[1]01-Cash-Raw'!F55</f>
        <v>-570005</v>
      </c>
      <c r="G55" t="str">
        <f>TEXT('[1]01-Cash-Hlp'!B55,"mmm")</f>
        <v>Oct</v>
      </c>
      <c r="H55">
        <f>'[1]01-Cash-Hlp'!E55-'[1]01-Cash-Hlp'!D55</f>
        <v>5833</v>
      </c>
      <c r="I55" t="str">
        <f>IF(OR('[1]01-Cash-Hlp'!D55&gt;50000,'[1]01-Cash-Hlp'!E55&gt;50000),"Large","Normal")</f>
        <v>Normal</v>
      </c>
    </row>
    <row r="56" spans="1:9" x14ac:dyDescent="0.35">
      <c r="A56" t="str">
        <f>'[1]01-Cash-Raw'!A56</f>
        <v>BNK0055</v>
      </c>
      <c r="B56" s="2">
        <f>'[1]01-Cash-Raw'!B56</f>
        <v>45820</v>
      </c>
      <c r="C56" t="str">
        <f>'[1]01-Cash-Raw'!C56</f>
        <v>Customer Receipt</v>
      </c>
      <c r="D56">
        <f>'[1]01-Cash-Raw'!D56</f>
        <v>43096</v>
      </c>
      <c r="E56">
        <f>'[1]01-Cash-Raw'!E56</f>
        <v>0</v>
      </c>
      <c r="F56">
        <f>'[1]01-Cash-Raw'!F56</f>
        <v>-526909</v>
      </c>
      <c r="G56" t="str">
        <f>TEXT('[1]01-Cash-Hlp'!B56,"mmm")</f>
        <v>Jun</v>
      </c>
      <c r="H56">
        <f>'[1]01-Cash-Hlp'!E56-'[1]01-Cash-Hlp'!D56</f>
        <v>-43096</v>
      </c>
      <c r="I56" t="str">
        <f>IF(OR('[1]01-Cash-Hlp'!D56&gt;50000,'[1]01-Cash-Hlp'!E56&gt;50000),"Large","Normal")</f>
        <v>Normal</v>
      </c>
    </row>
    <row r="57" spans="1:9" x14ac:dyDescent="0.35">
      <c r="A57" t="str">
        <f>'[1]01-Cash-Raw'!A57</f>
        <v>BNK0056</v>
      </c>
      <c r="B57" s="2">
        <f>'[1]01-Cash-Raw'!B57</f>
        <v>45888</v>
      </c>
      <c r="C57" t="str">
        <f>'[1]01-Cash-Raw'!C57</f>
        <v>Bank Fee</v>
      </c>
      <c r="D57">
        <f>'[1]01-Cash-Raw'!D57</f>
        <v>0</v>
      </c>
      <c r="E57">
        <f>'[1]01-Cash-Raw'!E57</f>
        <v>31528</v>
      </c>
      <c r="F57">
        <f>'[1]01-Cash-Raw'!F57</f>
        <v>-558437</v>
      </c>
      <c r="G57" t="str">
        <f>TEXT('[1]01-Cash-Hlp'!B57,"mmm")</f>
        <v>Aug</v>
      </c>
      <c r="H57">
        <f>'[1]01-Cash-Hlp'!E57-'[1]01-Cash-Hlp'!D57</f>
        <v>31528</v>
      </c>
      <c r="I57" t="str">
        <f>IF(OR('[1]01-Cash-Hlp'!D57&gt;50000,'[1]01-Cash-Hlp'!E57&gt;50000),"Large","Normal")</f>
        <v>Normal</v>
      </c>
    </row>
    <row r="58" spans="1:9" x14ac:dyDescent="0.35">
      <c r="A58" t="str">
        <f>'[1]01-Cash-Raw'!A58</f>
        <v>BNK0057</v>
      </c>
      <c r="B58" s="2">
        <f>'[1]01-Cash-Raw'!B58</f>
        <v>45723</v>
      </c>
      <c r="C58" t="str">
        <f>'[1]01-Cash-Raw'!C58</f>
        <v>Supplier Payment</v>
      </c>
      <c r="D58">
        <f>'[1]01-Cash-Raw'!D58</f>
        <v>0</v>
      </c>
      <c r="E58">
        <f>'[1]01-Cash-Raw'!E58</f>
        <v>37130</v>
      </c>
      <c r="F58">
        <f>'[1]01-Cash-Raw'!F58</f>
        <v>-595567</v>
      </c>
      <c r="G58" t="str">
        <f>TEXT('[1]01-Cash-Hlp'!B58,"mmm")</f>
        <v>Mar</v>
      </c>
      <c r="H58">
        <f>'[1]01-Cash-Hlp'!E58-'[1]01-Cash-Hlp'!D58</f>
        <v>37130</v>
      </c>
      <c r="I58" t="str">
        <f>IF(OR('[1]01-Cash-Hlp'!D58&gt;50000,'[1]01-Cash-Hlp'!E58&gt;50000),"Large","Normal")</f>
        <v>Normal</v>
      </c>
    </row>
    <row r="59" spans="1:9" x14ac:dyDescent="0.35">
      <c r="A59" t="str">
        <f>'[1]01-Cash-Raw'!A59</f>
        <v>BNK0058</v>
      </c>
      <c r="B59" s="2">
        <f>'[1]01-Cash-Raw'!B59</f>
        <v>45724</v>
      </c>
      <c r="C59" t="str">
        <f>'[1]01-Cash-Raw'!C59</f>
        <v>Customer Receipt</v>
      </c>
      <c r="D59">
        <f>'[1]01-Cash-Raw'!D59</f>
        <v>29352</v>
      </c>
      <c r="E59">
        <f>'[1]01-Cash-Raw'!E59</f>
        <v>0</v>
      </c>
      <c r="F59">
        <f>'[1]01-Cash-Raw'!F59</f>
        <v>-566215</v>
      </c>
      <c r="G59" t="str">
        <f>TEXT('[1]01-Cash-Hlp'!B59,"mmm")</f>
        <v>Mar</v>
      </c>
      <c r="H59">
        <f>'[1]01-Cash-Hlp'!E59-'[1]01-Cash-Hlp'!D59</f>
        <v>-29352</v>
      </c>
      <c r="I59" t="str">
        <f>IF(OR('[1]01-Cash-Hlp'!D59&gt;50000,'[1]01-Cash-Hlp'!E59&gt;50000),"Large","Normal")</f>
        <v>Normal</v>
      </c>
    </row>
    <row r="60" spans="1:9" x14ac:dyDescent="0.35">
      <c r="A60" t="str">
        <f>'[1]01-Cash-Raw'!A60</f>
        <v>BNK0059</v>
      </c>
      <c r="B60" s="2">
        <f>'[1]01-Cash-Raw'!B60</f>
        <v>45721</v>
      </c>
      <c r="C60" t="str">
        <f>'[1]01-Cash-Raw'!C60</f>
        <v>Supplier Payment</v>
      </c>
      <c r="D60">
        <f>'[1]01-Cash-Raw'!D60</f>
        <v>0</v>
      </c>
      <c r="E60">
        <f>'[1]01-Cash-Raw'!E60</f>
        <v>34954</v>
      </c>
      <c r="F60">
        <f>'[1]01-Cash-Raw'!F60</f>
        <v>-601169</v>
      </c>
      <c r="G60" t="str">
        <f>TEXT('[1]01-Cash-Hlp'!B60,"mmm")</f>
        <v>Mar</v>
      </c>
      <c r="H60">
        <f>'[1]01-Cash-Hlp'!E60-'[1]01-Cash-Hlp'!D60</f>
        <v>34954</v>
      </c>
      <c r="I60" t="str">
        <f>IF(OR('[1]01-Cash-Hlp'!D60&gt;50000,'[1]01-Cash-Hlp'!E60&gt;50000),"Large","Normal")</f>
        <v>Normal</v>
      </c>
    </row>
    <row r="61" spans="1:9" x14ac:dyDescent="0.35">
      <c r="A61" t="str">
        <f>'[1]01-Cash-Raw'!A61</f>
        <v>BNK0060</v>
      </c>
      <c r="B61" s="2">
        <f>'[1]01-Cash-Raw'!B61</f>
        <v>45813</v>
      </c>
      <c r="C61" t="str">
        <f>'[1]01-Cash-Raw'!C61</f>
        <v>Supplier Payment</v>
      </c>
      <c r="D61">
        <f>'[1]01-Cash-Raw'!D61</f>
        <v>0</v>
      </c>
      <c r="E61">
        <f>'[1]01-Cash-Raw'!E61</f>
        <v>11790</v>
      </c>
      <c r="F61">
        <f>'[1]01-Cash-Raw'!F61</f>
        <v>-612959</v>
      </c>
      <c r="G61" t="str">
        <f>TEXT('[1]01-Cash-Hlp'!B61,"mmm")</f>
        <v>Jun</v>
      </c>
      <c r="H61">
        <f>'[1]01-Cash-Hlp'!E61-'[1]01-Cash-Hlp'!D61</f>
        <v>11790</v>
      </c>
      <c r="I61" t="str">
        <f>IF(OR('[1]01-Cash-Hlp'!D61&gt;50000,'[1]01-Cash-Hlp'!E61&gt;50000),"Large","Normal")</f>
        <v>Normal</v>
      </c>
    </row>
    <row r="62" spans="1:9" x14ac:dyDescent="0.35">
      <c r="A62" t="str">
        <f>'[1]01-Cash-Raw'!A62</f>
        <v>BNK0061</v>
      </c>
      <c r="B62" s="2">
        <f>'[1]01-Cash-Raw'!B62</f>
        <v>45823</v>
      </c>
      <c r="C62" t="str">
        <f>'[1]01-Cash-Raw'!C62</f>
        <v>Supplier Payment</v>
      </c>
      <c r="D62">
        <f>'[1]01-Cash-Raw'!D62</f>
        <v>0</v>
      </c>
      <c r="E62">
        <f>'[1]01-Cash-Raw'!E62</f>
        <v>47486</v>
      </c>
      <c r="F62">
        <f>'[1]01-Cash-Raw'!F62</f>
        <v>-660445</v>
      </c>
      <c r="G62" t="str">
        <f>TEXT('[1]01-Cash-Hlp'!B62,"mmm")</f>
        <v>Jun</v>
      </c>
      <c r="H62">
        <f>'[1]01-Cash-Hlp'!E62-'[1]01-Cash-Hlp'!D62</f>
        <v>47486</v>
      </c>
      <c r="I62" t="str">
        <f>IF(OR('[1]01-Cash-Hlp'!D62&gt;50000,'[1]01-Cash-Hlp'!E62&gt;50000),"Large","Normal")</f>
        <v>Normal</v>
      </c>
    </row>
    <row r="63" spans="1:9" x14ac:dyDescent="0.35">
      <c r="A63" t="str">
        <f>'[1]01-Cash-Raw'!A63</f>
        <v>BNK0062</v>
      </c>
      <c r="B63" s="2">
        <f>'[1]01-Cash-Raw'!B63</f>
        <v>45835</v>
      </c>
      <c r="C63" t="str">
        <f>'[1]01-Cash-Raw'!C63</f>
        <v>Bank Fee</v>
      </c>
      <c r="D63">
        <f>'[1]01-Cash-Raw'!D63</f>
        <v>0</v>
      </c>
      <c r="E63">
        <f>'[1]01-Cash-Raw'!E63</f>
        <v>35006</v>
      </c>
      <c r="F63">
        <f>'[1]01-Cash-Raw'!F63</f>
        <v>-695451</v>
      </c>
      <c r="G63" t="str">
        <f>TEXT('[1]01-Cash-Hlp'!B63,"mmm")</f>
        <v>Jun</v>
      </c>
      <c r="H63">
        <f>'[1]01-Cash-Hlp'!E63-'[1]01-Cash-Hlp'!D63</f>
        <v>35006</v>
      </c>
      <c r="I63" t="str">
        <f>IF(OR('[1]01-Cash-Hlp'!D63&gt;50000,'[1]01-Cash-Hlp'!E63&gt;50000),"Large","Normal")</f>
        <v>Normal</v>
      </c>
    </row>
    <row r="64" spans="1:9" x14ac:dyDescent="0.35">
      <c r="A64" t="str">
        <f>'[1]01-Cash-Raw'!A64</f>
        <v>BNK0063</v>
      </c>
      <c r="B64" s="2">
        <f>'[1]01-Cash-Raw'!B64</f>
        <v>45698</v>
      </c>
      <c r="C64" t="str">
        <f>'[1]01-Cash-Raw'!C64</f>
        <v>Supplier Payment</v>
      </c>
      <c r="D64">
        <f>'[1]01-Cash-Raw'!D64</f>
        <v>0</v>
      </c>
      <c r="E64">
        <f>'[1]01-Cash-Raw'!E64</f>
        <v>17423</v>
      </c>
      <c r="F64">
        <f>'[1]01-Cash-Raw'!F64</f>
        <v>-712874</v>
      </c>
      <c r="G64" t="str">
        <f>TEXT('[1]01-Cash-Hlp'!B64,"mmm")</f>
        <v>Feb</v>
      </c>
      <c r="H64">
        <f>'[1]01-Cash-Hlp'!E64-'[1]01-Cash-Hlp'!D64</f>
        <v>17423</v>
      </c>
      <c r="I64" t="str">
        <f>IF(OR('[1]01-Cash-Hlp'!D64&gt;50000,'[1]01-Cash-Hlp'!E64&gt;50000),"Large","Normal")</f>
        <v>Normal</v>
      </c>
    </row>
    <row r="65" spans="1:9" x14ac:dyDescent="0.35">
      <c r="A65" t="str">
        <f>'[1]01-Cash-Raw'!A65</f>
        <v>BNK0064</v>
      </c>
      <c r="B65" s="2">
        <f>'[1]01-Cash-Raw'!B65</f>
        <v>45983</v>
      </c>
      <c r="C65" t="str">
        <f>'[1]01-Cash-Raw'!C65</f>
        <v>Bank Fee</v>
      </c>
      <c r="D65">
        <f>'[1]01-Cash-Raw'!D65</f>
        <v>0</v>
      </c>
      <c r="E65">
        <f>'[1]01-Cash-Raw'!E65</f>
        <v>37099</v>
      </c>
      <c r="F65">
        <f>'[1]01-Cash-Raw'!F65</f>
        <v>-749973</v>
      </c>
      <c r="G65" t="str">
        <f>TEXT('[1]01-Cash-Hlp'!B65,"mmm")</f>
        <v>Nov</v>
      </c>
      <c r="H65">
        <f>'[1]01-Cash-Hlp'!E65-'[1]01-Cash-Hlp'!D65</f>
        <v>37099</v>
      </c>
      <c r="I65" t="str">
        <f>IF(OR('[1]01-Cash-Hlp'!D65&gt;50000,'[1]01-Cash-Hlp'!E65&gt;50000),"Large","Normal")</f>
        <v>Normal</v>
      </c>
    </row>
    <row r="66" spans="1:9" x14ac:dyDescent="0.35">
      <c r="A66" t="str">
        <f>'[1]01-Cash-Raw'!A66</f>
        <v>BNK0065</v>
      </c>
      <c r="B66" s="2">
        <f>'[1]01-Cash-Raw'!B66</f>
        <v>45722</v>
      </c>
      <c r="C66" t="str">
        <f>'[1]01-Cash-Raw'!C66</f>
        <v>Bank Fee</v>
      </c>
      <c r="D66">
        <f>'[1]01-Cash-Raw'!D66</f>
        <v>0</v>
      </c>
      <c r="E66">
        <f>'[1]01-Cash-Raw'!E66</f>
        <v>41961</v>
      </c>
      <c r="F66">
        <f>'[1]01-Cash-Raw'!F66</f>
        <v>-791934</v>
      </c>
      <c r="G66" t="str">
        <f>TEXT('[1]01-Cash-Hlp'!B66,"mmm")</f>
        <v>Mar</v>
      </c>
      <c r="H66">
        <f>'[1]01-Cash-Hlp'!E66-'[1]01-Cash-Hlp'!D66</f>
        <v>41961</v>
      </c>
      <c r="I66" t="str">
        <f>IF(OR('[1]01-Cash-Hlp'!D66&gt;50000,'[1]01-Cash-Hlp'!E66&gt;50000),"Large","Normal")</f>
        <v>Normal</v>
      </c>
    </row>
    <row r="67" spans="1:9" x14ac:dyDescent="0.35">
      <c r="A67" t="str">
        <f>'[1]01-Cash-Raw'!A67</f>
        <v>BNK0066</v>
      </c>
      <c r="B67" s="2">
        <f>'[1]01-Cash-Raw'!B67</f>
        <v>45972</v>
      </c>
      <c r="C67" t="str">
        <f>'[1]01-Cash-Raw'!C67</f>
        <v>Customer Receipt</v>
      </c>
      <c r="D67">
        <f>'[1]01-Cash-Raw'!D67</f>
        <v>35962</v>
      </c>
      <c r="E67">
        <f>'[1]01-Cash-Raw'!E67</f>
        <v>0</v>
      </c>
      <c r="F67">
        <f>'[1]01-Cash-Raw'!F67</f>
        <v>-755972</v>
      </c>
      <c r="G67" t="str">
        <f>TEXT('[1]01-Cash-Hlp'!B67,"mmm")</f>
        <v>Nov</v>
      </c>
      <c r="H67">
        <f>'[1]01-Cash-Hlp'!E67-'[1]01-Cash-Hlp'!D67</f>
        <v>-35962</v>
      </c>
      <c r="I67" t="str">
        <f>IF(OR('[1]01-Cash-Hlp'!D67&gt;50000,'[1]01-Cash-Hlp'!E67&gt;50000),"Large","Normal")</f>
        <v>Normal</v>
      </c>
    </row>
    <row r="68" spans="1:9" x14ac:dyDescent="0.35">
      <c r="A68" t="str">
        <f>'[1]01-Cash-Raw'!A68</f>
        <v>BNK0067</v>
      </c>
      <c r="B68" s="2">
        <f>'[1]01-Cash-Raw'!B68</f>
        <v>45915</v>
      </c>
      <c r="C68" t="str">
        <f>'[1]01-Cash-Raw'!C68</f>
        <v>Supplier Payment</v>
      </c>
      <c r="D68">
        <f>'[1]01-Cash-Raw'!D68</f>
        <v>0</v>
      </c>
      <c r="E68">
        <f>'[1]01-Cash-Raw'!E68</f>
        <v>43007</v>
      </c>
      <c r="F68">
        <f>'[1]01-Cash-Raw'!F68</f>
        <v>-798979</v>
      </c>
      <c r="G68" t="str">
        <f>TEXT('[1]01-Cash-Hlp'!B68,"mmm")</f>
        <v>Sep</v>
      </c>
      <c r="H68">
        <f>'[1]01-Cash-Hlp'!E68-'[1]01-Cash-Hlp'!D68</f>
        <v>43007</v>
      </c>
      <c r="I68" t="str">
        <f>IF(OR('[1]01-Cash-Hlp'!D68&gt;50000,'[1]01-Cash-Hlp'!E68&gt;50000),"Large","Normal")</f>
        <v>Normal</v>
      </c>
    </row>
    <row r="69" spans="1:9" x14ac:dyDescent="0.35">
      <c r="A69" t="str">
        <f>'[1]01-Cash-Raw'!A69</f>
        <v>BNK0068</v>
      </c>
      <c r="B69" s="2">
        <f>'[1]01-Cash-Raw'!B69</f>
        <v>45961</v>
      </c>
      <c r="C69" t="str">
        <f>'[1]01-Cash-Raw'!C69</f>
        <v>Supplier Payment</v>
      </c>
      <c r="D69">
        <f>'[1]01-Cash-Raw'!D69</f>
        <v>0</v>
      </c>
      <c r="E69">
        <f>'[1]01-Cash-Raw'!E69</f>
        <v>39053</v>
      </c>
      <c r="F69">
        <f>'[1]01-Cash-Raw'!F69</f>
        <v>-838032</v>
      </c>
      <c r="G69" t="str">
        <f>TEXT('[1]01-Cash-Hlp'!B69,"mmm")</f>
        <v>Oct</v>
      </c>
      <c r="H69">
        <f>'[1]01-Cash-Hlp'!E69-'[1]01-Cash-Hlp'!D69</f>
        <v>39053</v>
      </c>
      <c r="I69" t="str">
        <f>IF(OR('[1]01-Cash-Hlp'!D69&gt;50000,'[1]01-Cash-Hlp'!E69&gt;50000),"Large","Normal")</f>
        <v>Normal</v>
      </c>
    </row>
    <row r="70" spans="1:9" x14ac:dyDescent="0.35">
      <c r="A70" t="str">
        <f>'[1]01-Cash-Raw'!A70</f>
        <v>BNK0069</v>
      </c>
      <c r="B70" s="2">
        <f>'[1]01-Cash-Raw'!B70</f>
        <v>45745</v>
      </c>
      <c r="C70" t="str">
        <f>'[1]01-Cash-Raw'!C70</f>
        <v>Bank Fee</v>
      </c>
      <c r="D70">
        <f>'[1]01-Cash-Raw'!D70</f>
        <v>0</v>
      </c>
      <c r="E70">
        <f>'[1]01-Cash-Raw'!E70</f>
        <v>44170</v>
      </c>
      <c r="F70">
        <f>'[1]01-Cash-Raw'!F70</f>
        <v>-882202</v>
      </c>
      <c r="G70" t="str">
        <f>TEXT('[1]01-Cash-Hlp'!B70,"mmm")</f>
        <v>Mar</v>
      </c>
      <c r="H70">
        <f>'[1]01-Cash-Hlp'!E70-'[1]01-Cash-Hlp'!D70</f>
        <v>44170</v>
      </c>
      <c r="I70" t="str">
        <f>IF(OR('[1]01-Cash-Hlp'!D70&gt;50000,'[1]01-Cash-Hlp'!E70&gt;50000),"Large","Normal")</f>
        <v>Normal</v>
      </c>
    </row>
    <row r="71" spans="1:9" x14ac:dyDescent="0.35">
      <c r="A71" t="str">
        <f>'[1]01-Cash-Raw'!A71</f>
        <v>BNK0070</v>
      </c>
      <c r="B71" s="2">
        <f>'[1]01-Cash-Raw'!B71</f>
        <v>45946</v>
      </c>
      <c r="C71" t="str">
        <f>'[1]01-Cash-Raw'!C71</f>
        <v>Customer Receipt</v>
      </c>
      <c r="D71">
        <f>'[1]01-Cash-Raw'!D71</f>
        <v>3699</v>
      </c>
      <c r="E71">
        <f>'[1]01-Cash-Raw'!E71</f>
        <v>0</v>
      </c>
      <c r="F71">
        <f>'[1]01-Cash-Raw'!F71</f>
        <v>-878503</v>
      </c>
      <c r="G71" t="str">
        <f>TEXT('[1]01-Cash-Hlp'!B71,"mmm")</f>
        <v>Oct</v>
      </c>
      <c r="H71">
        <f>'[1]01-Cash-Hlp'!E71-'[1]01-Cash-Hlp'!D71</f>
        <v>-3699</v>
      </c>
      <c r="I71" t="str">
        <f>IF(OR('[1]01-Cash-Hlp'!D71&gt;50000,'[1]01-Cash-Hlp'!E71&gt;50000),"Large","Normal")</f>
        <v>Normal</v>
      </c>
    </row>
    <row r="72" spans="1:9" x14ac:dyDescent="0.35">
      <c r="A72" t="str">
        <f>'[1]01-Cash-Raw'!A72</f>
        <v>BNK0071</v>
      </c>
      <c r="B72" s="2">
        <f>'[1]01-Cash-Raw'!B72</f>
        <v>45699</v>
      </c>
      <c r="C72" t="str">
        <f>'[1]01-Cash-Raw'!C72</f>
        <v>Bank Fee</v>
      </c>
      <c r="D72">
        <f>'[1]01-Cash-Raw'!D72</f>
        <v>0</v>
      </c>
      <c r="E72">
        <f>'[1]01-Cash-Raw'!E72</f>
        <v>3979</v>
      </c>
      <c r="F72">
        <f>'[1]01-Cash-Raw'!F72</f>
        <v>-882482</v>
      </c>
      <c r="G72" t="str">
        <f>TEXT('[1]01-Cash-Hlp'!B72,"mmm")</f>
        <v>Feb</v>
      </c>
      <c r="H72">
        <f>'[1]01-Cash-Hlp'!E72-'[1]01-Cash-Hlp'!D72</f>
        <v>3979</v>
      </c>
      <c r="I72" t="str">
        <f>IF(OR('[1]01-Cash-Hlp'!D72&gt;50000,'[1]01-Cash-Hlp'!E72&gt;50000),"Large","Normal")</f>
        <v>Normal</v>
      </c>
    </row>
    <row r="73" spans="1:9" x14ac:dyDescent="0.35">
      <c r="A73" t="str">
        <f>'[1]01-Cash-Raw'!A73</f>
        <v>BNK0072</v>
      </c>
      <c r="B73" s="2">
        <f>'[1]01-Cash-Raw'!B73</f>
        <v>45991</v>
      </c>
      <c r="C73" t="str">
        <f>'[1]01-Cash-Raw'!C73</f>
        <v>Salary Payment</v>
      </c>
      <c r="D73">
        <f>'[1]01-Cash-Raw'!D73</f>
        <v>0</v>
      </c>
      <c r="E73">
        <f>'[1]01-Cash-Raw'!E73</f>
        <v>14815</v>
      </c>
      <c r="F73">
        <f>'[1]01-Cash-Raw'!F73</f>
        <v>-897297</v>
      </c>
      <c r="G73" t="str">
        <f>TEXT('[1]01-Cash-Hlp'!B73,"mmm")</f>
        <v>Nov</v>
      </c>
      <c r="H73">
        <f>'[1]01-Cash-Hlp'!E73-'[1]01-Cash-Hlp'!D73</f>
        <v>14815</v>
      </c>
      <c r="I73" t="str">
        <f>IF(OR('[1]01-Cash-Hlp'!D73&gt;50000,'[1]01-Cash-Hlp'!E73&gt;50000),"Large","Normal")</f>
        <v>Normal</v>
      </c>
    </row>
    <row r="74" spans="1:9" x14ac:dyDescent="0.35">
      <c r="A74" t="str">
        <f>'[1]01-Cash-Raw'!A74</f>
        <v>BNK0073</v>
      </c>
      <c r="B74" s="2">
        <f>'[1]01-Cash-Raw'!B74</f>
        <v>45974</v>
      </c>
      <c r="C74" t="str">
        <f>'[1]01-Cash-Raw'!C74</f>
        <v>Customer Receipt</v>
      </c>
      <c r="D74">
        <f>'[1]01-Cash-Raw'!D74</f>
        <v>42876</v>
      </c>
      <c r="E74">
        <f>'[1]01-Cash-Raw'!E74</f>
        <v>0</v>
      </c>
      <c r="F74">
        <f>'[1]01-Cash-Raw'!F74</f>
        <v>-854421</v>
      </c>
      <c r="G74" t="str">
        <f>TEXT('[1]01-Cash-Hlp'!B74,"mmm")</f>
        <v>Nov</v>
      </c>
      <c r="H74">
        <f>'[1]01-Cash-Hlp'!E74-'[1]01-Cash-Hlp'!D74</f>
        <v>-42876</v>
      </c>
      <c r="I74" t="str">
        <f>IF(OR('[1]01-Cash-Hlp'!D74&gt;50000,'[1]01-Cash-Hlp'!E74&gt;50000),"Large","Normal")</f>
        <v>Normal</v>
      </c>
    </row>
    <row r="75" spans="1:9" x14ac:dyDescent="0.35">
      <c r="A75" t="str">
        <f>'[1]01-Cash-Raw'!A75</f>
        <v>BNK0074</v>
      </c>
      <c r="B75" s="2">
        <f>'[1]01-Cash-Raw'!B75</f>
        <v>45912</v>
      </c>
      <c r="C75" t="str">
        <f>'[1]01-Cash-Raw'!C75</f>
        <v>Bank Fee</v>
      </c>
      <c r="D75">
        <f>'[1]01-Cash-Raw'!D75</f>
        <v>0</v>
      </c>
      <c r="E75">
        <f>'[1]01-Cash-Raw'!E75</f>
        <v>42101</v>
      </c>
      <c r="F75">
        <f>'[1]01-Cash-Raw'!F75</f>
        <v>-896522</v>
      </c>
      <c r="G75" t="str">
        <f>TEXT('[1]01-Cash-Hlp'!B75,"mmm")</f>
        <v>Sep</v>
      </c>
      <c r="H75">
        <f>'[1]01-Cash-Hlp'!E75-'[1]01-Cash-Hlp'!D75</f>
        <v>42101</v>
      </c>
      <c r="I75" t="str">
        <f>IF(OR('[1]01-Cash-Hlp'!D75&gt;50000,'[1]01-Cash-Hlp'!E75&gt;50000),"Large","Normal")</f>
        <v>Normal</v>
      </c>
    </row>
    <row r="76" spans="1:9" x14ac:dyDescent="0.35">
      <c r="A76" t="str">
        <f>'[1]01-Cash-Raw'!A76</f>
        <v>BNK0075</v>
      </c>
      <c r="B76" s="2">
        <f>'[1]01-Cash-Raw'!B76</f>
        <v>45986</v>
      </c>
      <c r="C76" t="str">
        <f>'[1]01-Cash-Raw'!C76</f>
        <v>Salary Payment</v>
      </c>
      <c r="D76">
        <f>'[1]01-Cash-Raw'!D76</f>
        <v>0</v>
      </c>
      <c r="E76">
        <f>'[1]01-Cash-Raw'!E76</f>
        <v>20798</v>
      </c>
      <c r="F76">
        <f>'[1]01-Cash-Raw'!F76</f>
        <v>-917320</v>
      </c>
      <c r="G76" t="str">
        <f>TEXT('[1]01-Cash-Hlp'!B76,"mmm")</f>
        <v>Nov</v>
      </c>
      <c r="H76">
        <f>'[1]01-Cash-Hlp'!E76-'[1]01-Cash-Hlp'!D76</f>
        <v>20798</v>
      </c>
      <c r="I76" t="str">
        <f>IF(OR('[1]01-Cash-Hlp'!D76&gt;50000,'[1]01-Cash-Hlp'!E76&gt;50000),"Large","Normal")</f>
        <v>Normal</v>
      </c>
    </row>
    <row r="77" spans="1:9" x14ac:dyDescent="0.35">
      <c r="A77" t="str">
        <f>'[1]01-Cash-Raw'!A77</f>
        <v>BNK0076</v>
      </c>
      <c r="B77" s="2">
        <f>'[1]01-Cash-Raw'!B77</f>
        <v>45783</v>
      </c>
      <c r="C77" t="str">
        <f>'[1]01-Cash-Raw'!C77</f>
        <v>Salary Payment</v>
      </c>
      <c r="D77">
        <f>'[1]01-Cash-Raw'!D77</f>
        <v>0</v>
      </c>
      <c r="E77">
        <f>'[1]01-Cash-Raw'!E77</f>
        <v>45891</v>
      </c>
      <c r="F77">
        <f>'[1]01-Cash-Raw'!F77</f>
        <v>-963211</v>
      </c>
      <c r="G77" t="str">
        <f>TEXT('[1]01-Cash-Hlp'!B77,"mmm")</f>
        <v>May</v>
      </c>
      <c r="H77">
        <f>'[1]01-Cash-Hlp'!E77-'[1]01-Cash-Hlp'!D77</f>
        <v>45891</v>
      </c>
      <c r="I77" t="str">
        <f>IF(OR('[1]01-Cash-Hlp'!D77&gt;50000,'[1]01-Cash-Hlp'!E77&gt;50000),"Large","Normal")</f>
        <v>Normal</v>
      </c>
    </row>
    <row r="78" spans="1:9" x14ac:dyDescent="0.35">
      <c r="A78" t="str">
        <f>'[1]01-Cash-Raw'!A78</f>
        <v>BNK0077</v>
      </c>
      <c r="B78" s="2">
        <f>'[1]01-Cash-Raw'!B78</f>
        <v>45810</v>
      </c>
      <c r="C78" t="str">
        <f>'[1]01-Cash-Raw'!C78</f>
        <v>Customer Receipt</v>
      </c>
      <c r="D78">
        <f>'[1]01-Cash-Raw'!D78</f>
        <v>30723</v>
      </c>
      <c r="E78">
        <f>'[1]01-Cash-Raw'!E78</f>
        <v>0</v>
      </c>
      <c r="F78">
        <f>'[1]01-Cash-Raw'!F78</f>
        <v>-932488</v>
      </c>
      <c r="G78" t="str">
        <f>TEXT('[1]01-Cash-Hlp'!B78,"mmm")</f>
        <v>Jun</v>
      </c>
      <c r="H78">
        <f>'[1]01-Cash-Hlp'!E78-'[1]01-Cash-Hlp'!D78</f>
        <v>-30723</v>
      </c>
      <c r="I78" t="str">
        <f>IF(OR('[1]01-Cash-Hlp'!D78&gt;50000,'[1]01-Cash-Hlp'!E78&gt;50000),"Large","Normal")</f>
        <v>Normal</v>
      </c>
    </row>
    <row r="79" spans="1:9" x14ac:dyDescent="0.35">
      <c r="A79" t="str">
        <f>'[1]01-Cash-Raw'!A79</f>
        <v>BNK0078</v>
      </c>
      <c r="B79" s="2">
        <f>'[1]01-Cash-Raw'!B79</f>
        <v>46010</v>
      </c>
      <c r="C79" t="str">
        <f>'[1]01-Cash-Raw'!C79</f>
        <v>Supplier Payment</v>
      </c>
      <c r="D79">
        <f>'[1]01-Cash-Raw'!D79</f>
        <v>0</v>
      </c>
      <c r="E79">
        <f>'[1]01-Cash-Raw'!E79</f>
        <v>4926</v>
      </c>
      <c r="F79">
        <f>'[1]01-Cash-Raw'!F79</f>
        <v>-937414</v>
      </c>
      <c r="G79" t="str">
        <f>TEXT('[1]01-Cash-Hlp'!B79,"mmm")</f>
        <v>Dec</v>
      </c>
      <c r="H79">
        <f>'[1]01-Cash-Hlp'!E79-'[1]01-Cash-Hlp'!D79</f>
        <v>4926</v>
      </c>
      <c r="I79" t="str">
        <f>IF(OR('[1]01-Cash-Hlp'!D79&gt;50000,'[1]01-Cash-Hlp'!E79&gt;50000),"Large","Normal")</f>
        <v>Normal</v>
      </c>
    </row>
    <row r="80" spans="1:9" x14ac:dyDescent="0.35">
      <c r="A80" t="str">
        <f>'[1]01-Cash-Raw'!A80</f>
        <v>BNK0079</v>
      </c>
      <c r="B80" s="2">
        <f>'[1]01-Cash-Raw'!B80</f>
        <v>45883</v>
      </c>
      <c r="C80" t="str">
        <f>'[1]01-Cash-Raw'!C80</f>
        <v>Salary Payment</v>
      </c>
      <c r="D80">
        <f>'[1]01-Cash-Raw'!D80</f>
        <v>0</v>
      </c>
      <c r="E80">
        <f>'[1]01-Cash-Raw'!E80</f>
        <v>28238</v>
      </c>
      <c r="F80">
        <f>'[1]01-Cash-Raw'!F80</f>
        <v>-965652</v>
      </c>
      <c r="G80" t="str">
        <f>TEXT('[1]01-Cash-Hlp'!B80,"mmm")</f>
        <v>Aug</v>
      </c>
      <c r="H80">
        <f>'[1]01-Cash-Hlp'!E80-'[1]01-Cash-Hlp'!D80</f>
        <v>28238</v>
      </c>
      <c r="I80" t="str">
        <f>IF(OR('[1]01-Cash-Hlp'!D80&gt;50000,'[1]01-Cash-Hlp'!E80&gt;50000),"Large","Normal")</f>
        <v>Normal</v>
      </c>
    </row>
    <row r="81" spans="1:9" x14ac:dyDescent="0.35">
      <c r="A81" t="str">
        <f>'[1]01-Cash-Raw'!A81</f>
        <v>BNK0080</v>
      </c>
      <c r="B81" s="2">
        <f>'[1]01-Cash-Raw'!B81</f>
        <v>45895</v>
      </c>
      <c r="C81" t="str">
        <f>'[1]01-Cash-Raw'!C81</f>
        <v>Bank Fee</v>
      </c>
      <c r="D81">
        <f>'[1]01-Cash-Raw'!D81</f>
        <v>0</v>
      </c>
      <c r="E81">
        <f>'[1]01-Cash-Raw'!E81</f>
        <v>14370</v>
      </c>
      <c r="F81">
        <f>'[1]01-Cash-Raw'!F81</f>
        <v>-980022</v>
      </c>
      <c r="G81" t="str">
        <f>TEXT('[1]01-Cash-Hlp'!B81,"mmm")</f>
        <v>Aug</v>
      </c>
      <c r="H81">
        <f>'[1]01-Cash-Hlp'!E81-'[1]01-Cash-Hlp'!D81</f>
        <v>14370</v>
      </c>
      <c r="I81" t="str">
        <f>IF(OR('[1]01-Cash-Hlp'!D81&gt;50000,'[1]01-Cash-Hlp'!E81&gt;50000),"Large","Normal")</f>
        <v>Normal</v>
      </c>
    </row>
    <row r="82" spans="1:9" x14ac:dyDescent="0.35">
      <c r="A82" t="str">
        <f>'[1]01-Cash-Raw'!A82</f>
        <v>BNK0081</v>
      </c>
      <c r="B82" s="2">
        <f>'[1]01-Cash-Raw'!B82</f>
        <v>45968</v>
      </c>
      <c r="C82" t="str">
        <f>'[1]01-Cash-Raw'!C82</f>
        <v>Bank Fee</v>
      </c>
      <c r="D82">
        <f>'[1]01-Cash-Raw'!D82</f>
        <v>0</v>
      </c>
      <c r="E82">
        <f>'[1]01-Cash-Raw'!E82</f>
        <v>10415</v>
      </c>
      <c r="F82">
        <f>'[1]01-Cash-Raw'!F82</f>
        <v>-990437</v>
      </c>
      <c r="G82" t="str">
        <f>TEXT('[1]01-Cash-Hlp'!B82,"mmm")</f>
        <v>Nov</v>
      </c>
      <c r="H82">
        <f>'[1]01-Cash-Hlp'!E82-'[1]01-Cash-Hlp'!D82</f>
        <v>10415</v>
      </c>
      <c r="I82" t="str">
        <f>IF(OR('[1]01-Cash-Hlp'!D82&gt;50000,'[1]01-Cash-Hlp'!E82&gt;50000),"Large","Normal")</f>
        <v>Normal</v>
      </c>
    </row>
    <row r="83" spans="1:9" x14ac:dyDescent="0.35">
      <c r="A83" t="str">
        <f>'[1]01-Cash-Raw'!A83</f>
        <v>BNK0082</v>
      </c>
      <c r="B83" s="2">
        <f>'[1]01-Cash-Raw'!B83</f>
        <v>45821</v>
      </c>
      <c r="C83" t="str">
        <f>'[1]01-Cash-Raw'!C83</f>
        <v>Bank Fee</v>
      </c>
      <c r="D83">
        <f>'[1]01-Cash-Raw'!D83</f>
        <v>0</v>
      </c>
      <c r="E83">
        <f>'[1]01-Cash-Raw'!E83</f>
        <v>49116</v>
      </c>
      <c r="F83">
        <f>'[1]01-Cash-Raw'!F83</f>
        <v>-1039553</v>
      </c>
      <c r="G83" t="str">
        <f>TEXT('[1]01-Cash-Hlp'!B83,"mmm")</f>
        <v>Jun</v>
      </c>
      <c r="H83">
        <f>'[1]01-Cash-Hlp'!E83-'[1]01-Cash-Hlp'!D83</f>
        <v>49116</v>
      </c>
      <c r="I83" t="str">
        <f>IF(OR('[1]01-Cash-Hlp'!D83&gt;50000,'[1]01-Cash-Hlp'!E83&gt;50000),"Large","Normal")</f>
        <v>Normal</v>
      </c>
    </row>
    <row r="84" spans="1:9" x14ac:dyDescent="0.35">
      <c r="A84" t="str">
        <f>'[1]01-Cash-Raw'!A84</f>
        <v>BNK0083</v>
      </c>
      <c r="B84" s="2">
        <f>'[1]01-Cash-Raw'!B84</f>
        <v>45862</v>
      </c>
      <c r="C84" t="str">
        <f>'[1]01-Cash-Raw'!C84</f>
        <v>Bank Fee</v>
      </c>
      <c r="D84">
        <f>'[1]01-Cash-Raw'!D84</f>
        <v>0</v>
      </c>
      <c r="E84">
        <f>'[1]01-Cash-Raw'!E84</f>
        <v>9569</v>
      </c>
      <c r="F84">
        <f>'[1]01-Cash-Raw'!F84</f>
        <v>-1049122</v>
      </c>
      <c r="G84" t="str">
        <f>TEXT('[1]01-Cash-Hlp'!B84,"mmm")</f>
        <v>Jul</v>
      </c>
      <c r="H84">
        <f>'[1]01-Cash-Hlp'!E84-'[1]01-Cash-Hlp'!D84</f>
        <v>9569</v>
      </c>
      <c r="I84" t="str">
        <f>IF(OR('[1]01-Cash-Hlp'!D84&gt;50000,'[1]01-Cash-Hlp'!E84&gt;50000),"Large","Normal")</f>
        <v>Normal</v>
      </c>
    </row>
    <row r="85" spans="1:9" x14ac:dyDescent="0.35">
      <c r="A85" t="str">
        <f>'[1]01-Cash-Raw'!A85</f>
        <v>BNK0084</v>
      </c>
      <c r="B85" s="2">
        <f>'[1]01-Cash-Raw'!B85</f>
        <v>45921</v>
      </c>
      <c r="C85" t="str">
        <f>'[1]01-Cash-Raw'!C85</f>
        <v>Customer Receipt</v>
      </c>
      <c r="D85">
        <f>'[1]01-Cash-Raw'!D85</f>
        <v>37808</v>
      </c>
      <c r="E85">
        <f>'[1]01-Cash-Raw'!E85</f>
        <v>0</v>
      </c>
      <c r="F85">
        <f>'[1]01-Cash-Raw'!F85</f>
        <v>-1011314</v>
      </c>
      <c r="G85" t="str">
        <f>TEXT('[1]01-Cash-Hlp'!B85,"mmm")</f>
        <v>Sep</v>
      </c>
      <c r="H85">
        <f>'[1]01-Cash-Hlp'!E85-'[1]01-Cash-Hlp'!D85</f>
        <v>-37808</v>
      </c>
      <c r="I85" t="str">
        <f>IF(OR('[1]01-Cash-Hlp'!D85&gt;50000,'[1]01-Cash-Hlp'!E85&gt;50000),"Large","Normal")</f>
        <v>Normal</v>
      </c>
    </row>
    <row r="86" spans="1:9" x14ac:dyDescent="0.35">
      <c r="A86" t="str">
        <f>'[1]01-Cash-Raw'!A86</f>
        <v>BNK0085</v>
      </c>
      <c r="B86" s="2">
        <f>'[1]01-Cash-Raw'!B86</f>
        <v>45821</v>
      </c>
      <c r="C86" t="str">
        <f>'[1]01-Cash-Raw'!C86</f>
        <v>Salary Payment</v>
      </c>
      <c r="D86">
        <f>'[1]01-Cash-Raw'!D86</f>
        <v>0</v>
      </c>
      <c r="E86">
        <f>'[1]01-Cash-Raw'!E86</f>
        <v>16842</v>
      </c>
      <c r="F86">
        <f>'[1]01-Cash-Raw'!F86</f>
        <v>-1028156</v>
      </c>
      <c r="G86" t="str">
        <f>TEXT('[1]01-Cash-Hlp'!B86,"mmm")</f>
        <v>Jun</v>
      </c>
      <c r="H86">
        <f>'[1]01-Cash-Hlp'!E86-'[1]01-Cash-Hlp'!D86</f>
        <v>16842</v>
      </c>
      <c r="I86" t="str">
        <f>IF(OR('[1]01-Cash-Hlp'!D86&gt;50000,'[1]01-Cash-Hlp'!E86&gt;50000),"Large","Normal")</f>
        <v>Normal</v>
      </c>
    </row>
    <row r="87" spans="1:9" x14ac:dyDescent="0.35">
      <c r="A87" t="str">
        <f>'[1]01-Cash-Raw'!A87</f>
        <v>BNK0086</v>
      </c>
      <c r="B87" s="2">
        <f>'[1]01-Cash-Raw'!B87</f>
        <v>45720</v>
      </c>
      <c r="C87" t="str">
        <f>'[1]01-Cash-Raw'!C87</f>
        <v>Salary Payment</v>
      </c>
      <c r="D87">
        <f>'[1]01-Cash-Raw'!D87</f>
        <v>0</v>
      </c>
      <c r="E87">
        <f>'[1]01-Cash-Raw'!E87</f>
        <v>18529</v>
      </c>
      <c r="F87">
        <f>'[1]01-Cash-Raw'!F87</f>
        <v>-1046685</v>
      </c>
      <c r="G87" t="str">
        <f>TEXT('[1]01-Cash-Hlp'!B87,"mmm")</f>
        <v>Mar</v>
      </c>
      <c r="H87">
        <f>'[1]01-Cash-Hlp'!E87-'[1]01-Cash-Hlp'!D87</f>
        <v>18529</v>
      </c>
      <c r="I87" t="str">
        <f>IF(OR('[1]01-Cash-Hlp'!D87&gt;50000,'[1]01-Cash-Hlp'!E87&gt;50000),"Large","Normal")</f>
        <v>Normal</v>
      </c>
    </row>
    <row r="88" spans="1:9" x14ac:dyDescent="0.35">
      <c r="A88" t="str">
        <f>'[1]01-Cash-Raw'!A88</f>
        <v>BNK0087</v>
      </c>
      <c r="B88" s="2">
        <f>'[1]01-Cash-Raw'!B88</f>
        <v>45784</v>
      </c>
      <c r="C88" t="str">
        <f>'[1]01-Cash-Raw'!C88</f>
        <v>Customer Receipt</v>
      </c>
      <c r="D88">
        <f>'[1]01-Cash-Raw'!D88</f>
        <v>10232</v>
      </c>
      <c r="E88">
        <f>'[1]01-Cash-Raw'!E88</f>
        <v>0</v>
      </c>
      <c r="F88">
        <f>'[1]01-Cash-Raw'!F88</f>
        <v>-1036453</v>
      </c>
      <c r="G88" t="str">
        <f>TEXT('[1]01-Cash-Hlp'!B88,"mmm")</f>
        <v>May</v>
      </c>
      <c r="H88">
        <f>'[1]01-Cash-Hlp'!E88-'[1]01-Cash-Hlp'!D88</f>
        <v>-10232</v>
      </c>
      <c r="I88" t="str">
        <f>IF(OR('[1]01-Cash-Hlp'!D88&gt;50000,'[1]01-Cash-Hlp'!E88&gt;50000),"Large","Normal")</f>
        <v>Normal</v>
      </c>
    </row>
    <row r="89" spans="1:9" x14ac:dyDescent="0.35">
      <c r="A89" t="str">
        <f>'[1]01-Cash-Raw'!A89</f>
        <v>BNK0088</v>
      </c>
      <c r="B89" s="2">
        <f>'[1]01-Cash-Raw'!B89</f>
        <v>45683</v>
      </c>
      <c r="C89" t="str">
        <f>'[1]01-Cash-Raw'!C89</f>
        <v>Salary Payment</v>
      </c>
      <c r="D89">
        <f>'[1]01-Cash-Raw'!D89</f>
        <v>0</v>
      </c>
      <c r="E89">
        <f>'[1]01-Cash-Raw'!E89</f>
        <v>20019</v>
      </c>
      <c r="F89">
        <f>'[1]01-Cash-Raw'!F89</f>
        <v>-1056472</v>
      </c>
      <c r="G89" t="str">
        <f>TEXT('[1]01-Cash-Hlp'!B89,"mmm")</f>
        <v>Jan</v>
      </c>
      <c r="H89">
        <f>'[1]01-Cash-Hlp'!E89-'[1]01-Cash-Hlp'!D89</f>
        <v>20019</v>
      </c>
      <c r="I89" t="str">
        <f>IF(OR('[1]01-Cash-Hlp'!D89&gt;50000,'[1]01-Cash-Hlp'!E89&gt;50000),"Large","Normal")</f>
        <v>Normal</v>
      </c>
    </row>
    <row r="90" spans="1:9" x14ac:dyDescent="0.35">
      <c r="A90" t="str">
        <f>'[1]01-Cash-Raw'!A90</f>
        <v>BNK0089</v>
      </c>
      <c r="B90" s="2">
        <f>'[1]01-Cash-Raw'!B90</f>
        <v>45973</v>
      </c>
      <c r="C90" t="str">
        <f>'[1]01-Cash-Raw'!C90</f>
        <v>Supplier Payment</v>
      </c>
      <c r="D90">
        <f>'[1]01-Cash-Raw'!D90</f>
        <v>0</v>
      </c>
      <c r="E90">
        <f>'[1]01-Cash-Raw'!E90</f>
        <v>28402</v>
      </c>
      <c r="F90">
        <f>'[1]01-Cash-Raw'!F90</f>
        <v>-1084874</v>
      </c>
      <c r="G90" t="str">
        <f>TEXT('[1]01-Cash-Hlp'!B90,"mmm")</f>
        <v>Nov</v>
      </c>
      <c r="H90">
        <f>'[1]01-Cash-Hlp'!E90-'[1]01-Cash-Hlp'!D90</f>
        <v>28402</v>
      </c>
      <c r="I90" t="str">
        <f>IF(OR('[1]01-Cash-Hlp'!D90&gt;50000,'[1]01-Cash-Hlp'!E90&gt;50000),"Large","Normal")</f>
        <v>Normal</v>
      </c>
    </row>
    <row r="91" spans="1:9" x14ac:dyDescent="0.35">
      <c r="A91" t="str">
        <f>'[1]01-Cash-Raw'!A91</f>
        <v>BNK0090</v>
      </c>
      <c r="B91" s="2">
        <f>'[1]01-Cash-Raw'!B91</f>
        <v>45739</v>
      </c>
      <c r="C91" t="str">
        <f>'[1]01-Cash-Raw'!C91</f>
        <v>Bank Fee</v>
      </c>
      <c r="D91">
        <f>'[1]01-Cash-Raw'!D91</f>
        <v>0</v>
      </c>
      <c r="E91">
        <f>'[1]01-Cash-Raw'!E91</f>
        <v>22458</v>
      </c>
      <c r="F91">
        <f>'[1]01-Cash-Raw'!F91</f>
        <v>-1107332</v>
      </c>
      <c r="G91" t="str">
        <f>TEXT('[1]01-Cash-Hlp'!B91,"mmm")</f>
        <v>Mar</v>
      </c>
      <c r="H91">
        <f>'[1]01-Cash-Hlp'!E91-'[1]01-Cash-Hlp'!D91</f>
        <v>22458</v>
      </c>
      <c r="I91" t="str">
        <f>IF(OR('[1]01-Cash-Hlp'!D91&gt;50000,'[1]01-Cash-Hlp'!E91&gt;50000),"Large","Normal")</f>
        <v>Normal</v>
      </c>
    </row>
    <row r="92" spans="1:9" x14ac:dyDescent="0.35">
      <c r="A92" t="str">
        <f>'[1]01-Cash-Raw'!A92</f>
        <v>BNK0091</v>
      </c>
      <c r="B92" s="2">
        <f>'[1]01-Cash-Raw'!B92</f>
        <v>45755</v>
      </c>
      <c r="C92" t="str">
        <f>'[1]01-Cash-Raw'!C92</f>
        <v>Salary Payment</v>
      </c>
      <c r="D92">
        <f>'[1]01-Cash-Raw'!D92</f>
        <v>0</v>
      </c>
      <c r="E92">
        <f>'[1]01-Cash-Raw'!E92</f>
        <v>11442</v>
      </c>
      <c r="F92">
        <f>'[1]01-Cash-Raw'!F92</f>
        <v>-1118774</v>
      </c>
      <c r="G92" t="str">
        <f>TEXT('[1]01-Cash-Hlp'!B92,"mmm")</f>
        <v>Apr</v>
      </c>
      <c r="H92">
        <f>'[1]01-Cash-Hlp'!E92-'[1]01-Cash-Hlp'!D92</f>
        <v>11442</v>
      </c>
      <c r="I92" t="str">
        <f>IF(OR('[1]01-Cash-Hlp'!D92&gt;50000,'[1]01-Cash-Hlp'!E92&gt;50000),"Large","Normal")</f>
        <v>Normal</v>
      </c>
    </row>
    <row r="93" spans="1:9" x14ac:dyDescent="0.35">
      <c r="A93" t="str">
        <f>'[1]01-Cash-Raw'!A93</f>
        <v>BNK0092</v>
      </c>
      <c r="B93" s="2">
        <f>'[1]01-Cash-Raw'!B93</f>
        <v>45921</v>
      </c>
      <c r="C93" t="str">
        <f>'[1]01-Cash-Raw'!C93</f>
        <v>Salary Payment</v>
      </c>
      <c r="D93">
        <f>'[1]01-Cash-Raw'!D93</f>
        <v>0</v>
      </c>
      <c r="E93">
        <f>'[1]01-Cash-Raw'!E93</f>
        <v>31593</v>
      </c>
      <c r="F93">
        <f>'[1]01-Cash-Raw'!F93</f>
        <v>-1150367</v>
      </c>
      <c r="G93" t="str">
        <f>TEXT('[1]01-Cash-Hlp'!B93,"mmm")</f>
        <v>Sep</v>
      </c>
      <c r="H93">
        <f>'[1]01-Cash-Hlp'!E93-'[1]01-Cash-Hlp'!D93</f>
        <v>31593</v>
      </c>
      <c r="I93" t="str">
        <f>IF(OR('[1]01-Cash-Hlp'!D93&gt;50000,'[1]01-Cash-Hlp'!E93&gt;50000),"Large","Normal")</f>
        <v>Normal</v>
      </c>
    </row>
    <row r="94" spans="1:9" x14ac:dyDescent="0.35">
      <c r="A94" t="str">
        <f>'[1]01-Cash-Raw'!A94</f>
        <v>BNK0093</v>
      </c>
      <c r="B94" s="2">
        <f>'[1]01-Cash-Raw'!B94</f>
        <v>45815</v>
      </c>
      <c r="C94" t="str">
        <f>'[1]01-Cash-Raw'!C94</f>
        <v>Customer Receipt</v>
      </c>
      <c r="D94">
        <f>'[1]01-Cash-Raw'!D94</f>
        <v>33595</v>
      </c>
      <c r="E94">
        <f>'[1]01-Cash-Raw'!E94</f>
        <v>0</v>
      </c>
      <c r="F94">
        <f>'[1]01-Cash-Raw'!F94</f>
        <v>-1116772</v>
      </c>
      <c r="G94" t="str">
        <f>TEXT('[1]01-Cash-Hlp'!B94,"mmm")</f>
        <v>Jun</v>
      </c>
      <c r="H94">
        <f>'[1]01-Cash-Hlp'!E94-'[1]01-Cash-Hlp'!D94</f>
        <v>-33595</v>
      </c>
      <c r="I94" t="str">
        <f>IF(OR('[1]01-Cash-Hlp'!D94&gt;50000,'[1]01-Cash-Hlp'!E94&gt;50000),"Large","Normal")</f>
        <v>Normal</v>
      </c>
    </row>
    <row r="95" spans="1:9" x14ac:dyDescent="0.35">
      <c r="A95" t="str">
        <f>'[1]01-Cash-Raw'!A95</f>
        <v>BNK0094</v>
      </c>
      <c r="B95" s="2">
        <f>'[1]01-Cash-Raw'!B95</f>
        <v>45704</v>
      </c>
      <c r="C95" t="str">
        <f>'[1]01-Cash-Raw'!C95</f>
        <v>Salary Payment</v>
      </c>
      <c r="D95">
        <f>'[1]01-Cash-Raw'!D95</f>
        <v>0</v>
      </c>
      <c r="E95">
        <f>'[1]01-Cash-Raw'!E95</f>
        <v>26771</v>
      </c>
      <c r="F95">
        <f>'[1]01-Cash-Raw'!F95</f>
        <v>-1143543</v>
      </c>
      <c r="G95" t="str">
        <f>TEXT('[1]01-Cash-Hlp'!B95,"mmm")</f>
        <v>Feb</v>
      </c>
      <c r="H95">
        <f>'[1]01-Cash-Hlp'!E95-'[1]01-Cash-Hlp'!D95</f>
        <v>26771</v>
      </c>
      <c r="I95" t="str">
        <f>IF(OR('[1]01-Cash-Hlp'!D95&gt;50000,'[1]01-Cash-Hlp'!E95&gt;50000),"Large","Normal")</f>
        <v>Normal</v>
      </c>
    </row>
    <row r="96" spans="1:9" x14ac:dyDescent="0.35">
      <c r="A96" t="str">
        <f>'[1]01-Cash-Raw'!A96</f>
        <v>BNK0095</v>
      </c>
      <c r="B96" s="2">
        <f>'[1]01-Cash-Raw'!B96</f>
        <v>45781</v>
      </c>
      <c r="C96" t="str">
        <f>'[1]01-Cash-Raw'!C96</f>
        <v>Bank Fee</v>
      </c>
      <c r="D96">
        <f>'[1]01-Cash-Raw'!D96</f>
        <v>0</v>
      </c>
      <c r="E96">
        <f>'[1]01-Cash-Raw'!E96</f>
        <v>15099</v>
      </c>
      <c r="F96">
        <f>'[1]01-Cash-Raw'!F96</f>
        <v>-1158642</v>
      </c>
      <c r="G96" t="str">
        <f>TEXT('[1]01-Cash-Hlp'!B96,"mmm")</f>
        <v>May</v>
      </c>
      <c r="H96">
        <f>'[1]01-Cash-Hlp'!E96-'[1]01-Cash-Hlp'!D96</f>
        <v>15099</v>
      </c>
      <c r="I96" t="str">
        <f>IF(OR('[1]01-Cash-Hlp'!D96&gt;50000,'[1]01-Cash-Hlp'!E96&gt;50000),"Large","Normal")</f>
        <v>Normal</v>
      </c>
    </row>
    <row r="97" spans="1:9" x14ac:dyDescent="0.35">
      <c r="A97" t="str">
        <f>'[1]01-Cash-Raw'!A97</f>
        <v>BNK0096</v>
      </c>
      <c r="B97" s="2">
        <f>'[1]01-Cash-Raw'!B97</f>
        <v>45682</v>
      </c>
      <c r="C97" t="str">
        <f>'[1]01-Cash-Raw'!C97</f>
        <v>Bank Fee</v>
      </c>
      <c r="D97">
        <f>'[1]01-Cash-Raw'!D97</f>
        <v>0</v>
      </c>
      <c r="E97">
        <f>'[1]01-Cash-Raw'!E97</f>
        <v>4312</v>
      </c>
      <c r="F97">
        <f>'[1]01-Cash-Raw'!F97</f>
        <v>-1162954</v>
      </c>
      <c r="G97" t="str">
        <f>TEXT('[1]01-Cash-Hlp'!B97,"mmm")</f>
        <v>Jan</v>
      </c>
      <c r="H97">
        <f>'[1]01-Cash-Hlp'!E97-'[1]01-Cash-Hlp'!D97</f>
        <v>4312</v>
      </c>
      <c r="I97" t="str">
        <f>IF(OR('[1]01-Cash-Hlp'!D97&gt;50000,'[1]01-Cash-Hlp'!E97&gt;50000),"Large","Normal")</f>
        <v>Normal</v>
      </c>
    </row>
    <row r="98" spans="1:9" x14ac:dyDescent="0.35">
      <c r="A98" t="str">
        <f>'[1]01-Cash-Raw'!A98</f>
        <v>BNK0097</v>
      </c>
      <c r="B98" s="2">
        <f>'[1]01-Cash-Raw'!B98</f>
        <v>45911</v>
      </c>
      <c r="C98" t="str">
        <f>'[1]01-Cash-Raw'!C98</f>
        <v>Salary Payment</v>
      </c>
      <c r="D98">
        <f>'[1]01-Cash-Raw'!D98</f>
        <v>0</v>
      </c>
      <c r="E98">
        <f>'[1]01-Cash-Raw'!E98</f>
        <v>40158</v>
      </c>
      <c r="F98">
        <f>'[1]01-Cash-Raw'!F98</f>
        <v>-1203112</v>
      </c>
      <c r="G98" t="str">
        <f>TEXT('[1]01-Cash-Hlp'!B98,"mmm")</f>
        <v>Sep</v>
      </c>
      <c r="H98">
        <f>'[1]01-Cash-Hlp'!E98-'[1]01-Cash-Hlp'!D98</f>
        <v>40158</v>
      </c>
      <c r="I98" t="str">
        <f>IF(OR('[1]01-Cash-Hlp'!D98&gt;50000,'[1]01-Cash-Hlp'!E98&gt;50000),"Large","Normal")</f>
        <v>Normal</v>
      </c>
    </row>
    <row r="99" spans="1:9" x14ac:dyDescent="0.35">
      <c r="A99" t="str">
        <f>'[1]01-Cash-Raw'!A99</f>
        <v>BNK0098</v>
      </c>
      <c r="B99" s="2">
        <f>'[1]01-Cash-Raw'!B99</f>
        <v>45804</v>
      </c>
      <c r="C99" t="str">
        <f>'[1]01-Cash-Raw'!C99</f>
        <v>Customer Receipt</v>
      </c>
      <c r="D99">
        <f>'[1]01-Cash-Raw'!D99</f>
        <v>36172</v>
      </c>
      <c r="E99">
        <f>'[1]01-Cash-Raw'!E99</f>
        <v>0</v>
      </c>
      <c r="F99">
        <f>'[1]01-Cash-Raw'!F99</f>
        <v>-1166940</v>
      </c>
      <c r="G99" t="str">
        <f>TEXT('[1]01-Cash-Hlp'!B99,"mmm")</f>
        <v>May</v>
      </c>
      <c r="H99">
        <f>'[1]01-Cash-Hlp'!E99-'[1]01-Cash-Hlp'!D99</f>
        <v>-36172</v>
      </c>
      <c r="I99" t="str">
        <f>IF(OR('[1]01-Cash-Hlp'!D99&gt;50000,'[1]01-Cash-Hlp'!E99&gt;50000),"Large","Normal")</f>
        <v>Normal</v>
      </c>
    </row>
    <row r="100" spans="1:9" x14ac:dyDescent="0.35">
      <c r="A100" t="str">
        <f>'[1]01-Cash-Raw'!A100</f>
        <v>BNK0099</v>
      </c>
      <c r="B100" s="2">
        <f>'[1]01-Cash-Raw'!B100</f>
        <v>45713</v>
      </c>
      <c r="C100" t="str">
        <f>'[1]01-Cash-Raw'!C100</f>
        <v>Supplier Payment</v>
      </c>
      <c r="D100">
        <f>'[1]01-Cash-Raw'!D100</f>
        <v>0</v>
      </c>
      <c r="E100">
        <f>'[1]01-Cash-Raw'!E100</f>
        <v>29241</v>
      </c>
      <c r="F100">
        <f>'[1]01-Cash-Raw'!F100</f>
        <v>-1196181</v>
      </c>
      <c r="G100" t="str">
        <f>TEXT('[1]01-Cash-Hlp'!B100,"mmm")</f>
        <v>Feb</v>
      </c>
      <c r="H100">
        <f>'[1]01-Cash-Hlp'!E100-'[1]01-Cash-Hlp'!D100</f>
        <v>29241</v>
      </c>
      <c r="I100" t="str">
        <f>IF(OR('[1]01-Cash-Hlp'!D100&gt;50000,'[1]01-Cash-Hlp'!E100&gt;50000),"Large","Normal")</f>
        <v>Normal</v>
      </c>
    </row>
    <row r="101" spans="1:9" x14ac:dyDescent="0.35">
      <c r="A101" t="str">
        <f>'[1]01-Cash-Raw'!A101</f>
        <v>BNK0100</v>
      </c>
      <c r="B101" s="2">
        <f>'[1]01-Cash-Raw'!B101</f>
        <v>45793</v>
      </c>
      <c r="C101" t="str">
        <f>'[1]01-Cash-Raw'!C101</f>
        <v>Bank Fee</v>
      </c>
      <c r="D101">
        <f>'[1]01-Cash-Raw'!D101</f>
        <v>0</v>
      </c>
      <c r="E101">
        <f>'[1]01-Cash-Raw'!E101</f>
        <v>48677</v>
      </c>
      <c r="F101">
        <f>'[1]01-Cash-Raw'!F101</f>
        <v>-1244858</v>
      </c>
      <c r="G101" t="str">
        <f>TEXT('[1]01-Cash-Hlp'!B101,"mmm")</f>
        <v>May</v>
      </c>
      <c r="H101">
        <f>'[1]01-Cash-Hlp'!E101-'[1]01-Cash-Hlp'!D101</f>
        <v>48677</v>
      </c>
      <c r="I101" t="str">
        <f>IF(OR('[1]01-Cash-Hlp'!D101&gt;50000,'[1]01-Cash-Hlp'!E101&gt;50000),"Large","Normal")</f>
        <v>Normal</v>
      </c>
    </row>
    <row r="102" spans="1:9" x14ac:dyDescent="0.35">
      <c r="A102" t="str">
        <f>'[1]01-Cash-Raw'!A102</f>
        <v>BNK0101</v>
      </c>
      <c r="B102" s="2">
        <f>'[1]01-Cash-Raw'!B102</f>
        <v>45864</v>
      </c>
      <c r="C102" t="str">
        <f>'[1]01-Cash-Raw'!C102</f>
        <v>Customer Receipt</v>
      </c>
      <c r="D102">
        <f>'[1]01-Cash-Raw'!D102</f>
        <v>24982</v>
      </c>
      <c r="E102">
        <f>'[1]01-Cash-Raw'!E102</f>
        <v>0</v>
      </c>
      <c r="F102">
        <f>'[1]01-Cash-Raw'!F102</f>
        <v>-1219876</v>
      </c>
      <c r="G102" t="str">
        <f>TEXT('[1]01-Cash-Hlp'!B102,"mmm")</f>
        <v>Jul</v>
      </c>
      <c r="H102">
        <f>'[1]01-Cash-Hlp'!E102-'[1]01-Cash-Hlp'!D102</f>
        <v>-24982</v>
      </c>
      <c r="I102" t="str">
        <f>IF(OR('[1]01-Cash-Hlp'!D102&gt;50000,'[1]01-Cash-Hlp'!E102&gt;50000),"Large","Normal")</f>
        <v>Normal</v>
      </c>
    </row>
    <row r="103" spans="1:9" x14ac:dyDescent="0.35">
      <c r="A103" t="str">
        <f>'[1]01-Cash-Raw'!A103</f>
        <v>BNK0102</v>
      </c>
      <c r="B103" s="2">
        <f>'[1]01-Cash-Raw'!B103</f>
        <v>45863</v>
      </c>
      <c r="C103" t="str">
        <f>'[1]01-Cash-Raw'!C103</f>
        <v>Supplier Payment</v>
      </c>
      <c r="D103">
        <f>'[1]01-Cash-Raw'!D103</f>
        <v>0</v>
      </c>
      <c r="E103">
        <f>'[1]01-Cash-Raw'!E103</f>
        <v>4352</v>
      </c>
      <c r="F103">
        <f>'[1]01-Cash-Raw'!F103</f>
        <v>-1224228</v>
      </c>
      <c r="G103" t="str">
        <f>TEXT('[1]01-Cash-Hlp'!B103,"mmm")</f>
        <v>Jul</v>
      </c>
      <c r="H103">
        <f>'[1]01-Cash-Hlp'!E103-'[1]01-Cash-Hlp'!D103</f>
        <v>4352</v>
      </c>
      <c r="I103" t="str">
        <f>IF(OR('[1]01-Cash-Hlp'!D103&gt;50000,'[1]01-Cash-Hlp'!E103&gt;50000),"Large","Normal")</f>
        <v>Normal</v>
      </c>
    </row>
    <row r="104" spans="1:9" x14ac:dyDescent="0.35">
      <c r="A104" t="str">
        <f>'[1]01-Cash-Raw'!A104</f>
        <v>BNK0103</v>
      </c>
      <c r="B104" s="2">
        <f>'[1]01-Cash-Raw'!B104</f>
        <v>45843</v>
      </c>
      <c r="C104" t="str">
        <f>'[1]01-Cash-Raw'!C104</f>
        <v>Bank Fee</v>
      </c>
      <c r="D104">
        <f>'[1]01-Cash-Raw'!D104</f>
        <v>0</v>
      </c>
      <c r="E104">
        <f>'[1]01-Cash-Raw'!E104</f>
        <v>37256</v>
      </c>
      <c r="F104">
        <f>'[1]01-Cash-Raw'!F104</f>
        <v>-1261484</v>
      </c>
      <c r="G104" t="str">
        <f>TEXT('[1]01-Cash-Hlp'!B104,"mmm")</f>
        <v>Jul</v>
      </c>
      <c r="H104">
        <f>'[1]01-Cash-Hlp'!E104-'[1]01-Cash-Hlp'!D104</f>
        <v>37256</v>
      </c>
      <c r="I104" t="str">
        <f>IF(OR('[1]01-Cash-Hlp'!D104&gt;50000,'[1]01-Cash-Hlp'!E104&gt;50000),"Large","Normal")</f>
        <v>Normal</v>
      </c>
    </row>
    <row r="105" spans="1:9" x14ac:dyDescent="0.35">
      <c r="A105" t="str">
        <f>'[1]01-Cash-Raw'!A105</f>
        <v>BNK0104</v>
      </c>
      <c r="B105" s="2">
        <f>'[1]01-Cash-Raw'!B105</f>
        <v>45695</v>
      </c>
      <c r="C105" t="str">
        <f>'[1]01-Cash-Raw'!C105</f>
        <v>Salary Payment</v>
      </c>
      <c r="D105">
        <f>'[1]01-Cash-Raw'!D105</f>
        <v>0</v>
      </c>
      <c r="E105">
        <f>'[1]01-Cash-Raw'!E105</f>
        <v>26319</v>
      </c>
      <c r="F105">
        <f>'[1]01-Cash-Raw'!F105</f>
        <v>-1287803</v>
      </c>
      <c r="G105" t="str">
        <f>TEXT('[1]01-Cash-Hlp'!B105,"mmm")</f>
        <v>Feb</v>
      </c>
      <c r="H105">
        <f>'[1]01-Cash-Hlp'!E105-'[1]01-Cash-Hlp'!D105</f>
        <v>26319</v>
      </c>
      <c r="I105" t="str">
        <f>IF(OR('[1]01-Cash-Hlp'!D105&gt;50000,'[1]01-Cash-Hlp'!E105&gt;50000),"Large","Normal")</f>
        <v>Normal</v>
      </c>
    </row>
    <row r="106" spans="1:9" x14ac:dyDescent="0.35">
      <c r="A106" t="str">
        <f>'[1]01-Cash-Raw'!A106</f>
        <v>BNK0105</v>
      </c>
      <c r="B106" s="2">
        <f>'[1]01-Cash-Raw'!B106</f>
        <v>45939</v>
      </c>
      <c r="C106" t="str">
        <f>'[1]01-Cash-Raw'!C106</f>
        <v>Customer Receipt</v>
      </c>
      <c r="D106">
        <f>'[1]01-Cash-Raw'!D106</f>
        <v>19331</v>
      </c>
      <c r="E106">
        <f>'[1]01-Cash-Raw'!E106</f>
        <v>0</v>
      </c>
      <c r="F106">
        <f>'[1]01-Cash-Raw'!F106</f>
        <v>-1268472</v>
      </c>
      <c r="G106" t="str">
        <f>TEXT('[1]01-Cash-Hlp'!B106,"mmm")</f>
        <v>Oct</v>
      </c>
      <c r="H106">
        <f>'[1]01-Cash-Hlp'!E106-'[1]01-Cash-Hlp'!D106</f>
        <v>-19331</v>
      </c>
      <c r="I106" t="str">
        <f>IF(OR('[1]01-Cash-Hlp'!D106&gt;50000,'[1]01-Cash-Hlp'!E106&gt;50000),"Large","Normal")</f>
        <v>Normal</v>
      </c>
    </row>
    <row r="107" spans="1:9" x14ac:dyDescent="0.35">
      <c r="A107" t="str">
        <f>'[1]01-Cash-Raw'!A107</f>
        <v>BNK0106</v>
      </c>
      <c r="B107" s="2">
        <f>'[1]01-Cash-Raw'!B107</f>
        <v>45723</v>
      </c>
      <c r="C107" t="str">
        <f>'[1]01-Cash-Raw'!C107</f>
        <v>Salary Payment</v>
      </c>
      <c r="D107">
        <f>'[1]01-Cash-Raw'!D107</f>
        <v>0</v>
      </c>
      <c r="E107">
        <f>'[1]01-Cash-Raw'!E107</f>
        <v>7336</v>
      </c>
      <c r="F107">
        <f>'[1]01-Cash-Raw'!F107</f>
        <v>-1275808</v>
      </c>
      <c r="G107" t="str">
        <f>TEXT('[1]01-Cash-Hlp'!B107,"mmm")</f>
        <v>Mar</v>
      </c>
      <c r="H107">
        <f>'[1]01-Cash-Hlp'!E107-'[1]01-Cash-Hlp'!D107</f>
        <v>7336</v>
      </c>
      <c r="I107" t="str">
        <f>IF(OR('[1]01-Cash-Hlp'!D107&gt;50000,'[1]01-Cash-Hlp'!E107&gt;50000),"Large","Normal")</f>
        <v>Normal</v>
      </c>
    </row>
    <row r="108" spans="1:9" x14ac:dyDescent="0.35">
      <c r="A108" t="str">
        <f>'[1]01-Cash-Raw'!A108</f>
        <v>BNK0107</v>
      </c>
      <c r="B108" s="2">
        <f>'[1]01-Cash-Raw'!B108</f>
        <v>45849</v>
      </c>
      <c r="C108" t="str">
        <f>'[1]01-Cash-Raw'!C108</f>
        <v>Bank Fee</v>
      </c>
      <c r="D108">
        <f>'[1]01-Cash-Raw'!D108</f>
        <v>0</v>
      </c>
      <c r="E108">
        <f>'[1]01-Cash-Raw'!E108</f>
        <v>23222</v>
      </c>
      <c r="F108">
        <f>'[1]01-Cash-Raw'!F108</f>
        <v>-1299030</v>
      </c>
      <c r="G108" t="str">
        <f>TEXT('[1]01-Cash-Hlp'!B108,"mmm")</f>
        <v>Jul</v>
      </c>
      <c r="H108">
        <f>'[1]01-Cash-Hlp'!E108-'[1]01-Cash-Hlp'!D108</f>
        <v>23222</v>
      </c>
      <c r="I108" t="str">
        <f>IF(OR('[1]01-Cash-Hlp'!D108&gt;50000,'[1]01-Cash-Hlp'!E108&gt;50000),"Large","Normal")</f>
        <v>Normal</v>
      </c>
    </row>
    <row r="109" spans="1:9" x14ac:dyDescent="0.35">
      <c r="A109" t="str">
        <f>'[1]01-Cash-Raw'!A109</f>
        <v>BNK0108</v>
      </c>
      <c r="B109" s="2">
        <f>'[1]01-Cash-Raw'!B109</f>
        <v>45731</v>
      </c>
      <c r="C109" t="str">
        <f>'[1]01-Cash-Raw'!C109</f>
        <v>Salary Payment</v>
      </c>
      <c r="D109">
        <f>'[1]01-Cash-Raw'!D109</f>
        <v>0</v>
      </c>
      <c r="E109">
        <f>'[1]01-Cash-Raw'!E109</f>
        <v>14045</v>
      </c>
      <c r="F109">
        <f>'[1]01-Cash-Raw'!F109</f>
        <v>-1313075</v>
      </c>
      <c r="G109" t="str">
        <f>TEXT('[1]01-Cash-Hlp'!B109,"mmm")</f>
        <v>Mar</v>
      </c>
      <c r="H109">
        <f>'[1]01-Cash-Hlp'!E109-'[1]01-Cash-Hlp'!D109</f>
        <v>14045</v>
      </c>
      <c r="I109" t="str">
        <f>IF(OR('[1]01-Cash-Hlp'!D109&gt;50000,'[1]01-Cash-Hlp'!E109&gt;50000),"Large","Normal")</f>
        <v>Normal</v>
      </c>
    </row>
    <row r="110" spans="1:9" x14ac:dyDescent="0.35">
      <c r="A110" t="str">
        <f>'[1]01-Cash-Raw'!A110</f>
        <v>BNK0109</v>
      </c>
      <c r="B110" s="2">
        <f>'[1]01-Cash-Raw'!B110</f>
        <v>45914</v>
      </c>
      <c r="C110" t="str">
        <f>'[1]01-Cash-Raw'!C110</f>
        <v>Customer Receipt</v>
      </c>
      <c r="D110">
        <f>'[1]01-Cash-Raw'!D110</f>
        <v>3638</v>
      </c>
      <c r="E110">
        <f>'[1]01-Cash-Raw'!E110</f>
        <v>0</v>
      </c>
      <c r="F110">
        <f>'[1]01-Cash-Raw'!F110</f>
        <v>-1309437</v>
      </c>
      <c r="G110" t="str">
        <f>TEXT('[1]01-Cash-Hlp'!B110,"mmm")</f>
        <v>Sep</v>
      </c>
      <c r="H110">
        <f>'[1]01-Cash-Hlp'!E110-'[1]01-Cash-Hlp'!D110</f>
        <v>-3638</v>
      </c>
      <c r="I110" t="str">
        <f>IF(OR('[1]01-Cash-Hlp'!D110&gt;50000,'[1]01-Cash-Hlp'!E110&gt;50000),"Large","Normal")</f>
        <v>Normal</v>
      </c>
    </row>
    <row r="111" spans="1:9" x14ac:dyDescent="0.35">
      <c r="A111" t="str">
        <f>'[1]01-Cash-Raw'!A111</f>
        <v>BNK0110</v>
      </c>
      <c r="B111" s="2">
        <f>'[1]01-Cash-Raw'!B111</f>
        <v>45677</v>
      </c>
      <c r="C111" t="str">
        <f>'[1]01-Cash-Raw'!C111</f>
        <v>Bank Fee</v>
      </c>
      <c r="D111">
        <f>'[1]01-Cash-Raw'!D111</f>
        <v>0</v>
      </c>
      <c r="E111">
        <f>'[1]01-Cash-Raw'!E111</f>
        <v>9980</v>
      </c>
      <c r="F111">
        <f>'[1]01-Cash-Raw'!F111</f>
        <v>-1319417</v>
      </c>
      <c r="G111" t="str">
        <f>TEXT('[1]01-Cash-Hlp'!B111,"mmm")</f>
        <v>Jan</v>
      </c>
      <c r="H111">
        <f>'[1]01-Cash-Hlp'!E111-'[1]01-Cash-Hlp'!D111</f>
        <v>9980</v>
      </c>
      <c r="I111" t="str">
        <f>IF(OR('[1]01-Cash-Hlp'!D111&gt;50000,'[1]01-Cash-Hlp'!E111&gt;50000),"Large","Normal")</f>
        <v>Normal</v>
      </c>
    </row>
    <row r="112" spans="1:9" x14ac:dyDescent="0.35">
      <c r="A112" t="str">
        <f>'[1]01-Cash-Raw'!A112</f>
        <v>BNK0111</v>
      </c>
      <c r="B112" s="2">
        <f>'[1]01-Cash-Raw'!B112</f>
        <v>45900</v>
      </c>
      <c r="C112" t="str">
        <f>'[1]01-Cash-Raw'!C112</f>
        <v>Salary Payment</v>
      </c>
      <c r="D112">
        <f>'[1]01-Cash-Raw'!D112</f>
        <v>0</v>
      </c>
      <c r="E112">
        <f>'[1]01-Cash-Raw'!E112</f>
        <v>35034</v>
      </c>
      <c r="F112">
        <f>'[1]01-Cash-Raw'!F112</f>
        <v>-1354451</v>
      </c>
      <c r="G112" t="str">
        <f>TEXT('[1]01-Cash-Hlp'!B112,"mmm")</f>
        <v>Aug</v>
      </c>
      <c r="H112">
        <f>'[1]01-Cash-Hlp'!E112-'[1]01-Cash-Hlp'!D112</f>
        <v>35034</v>
      </c>
      <c r="I112" t="str">
        <f>IF(OR('[1]01-Cash-Hlp'!D112&gt;50000,'[1]01-Cash-Hlp'!E112&gt;50000),"Large","Normal")</f>
        <v>Normal</v>
      </c>
    </row>
    <row r="113" spans="1:9" x14ac:dyDescent="0.35">
      <c r="A113" t="str">
        <f>'[1]01-Cash-Raw'!A113</f>
        <v>BNK0112</v>
      </c>
      <c r="B113" s="2">
        <f>'[1]01-Cash-Raw'!B113</f>
        <v>45734</v>
      </c>
      <c r="C113" t="str">
        <f>'[1]01-Cash-Raw'!C113</f>
        <v>Supplier Payment</v>
      </c>
      <c r="D113">
        <f>'[1]01-Cash-Raw'!D113</f>
        <v>0</v>
      </c>
      <c r="E113">
        <f>'[1]01-Cash-Raw'!E113</f>
        <v>40731</v>
      </c>
      <c r="F113">
        <f>'[1]01-Cash-Raw'!F113</f>
        <v>-1395182</v>
      </c>
      <c r="G113" t="str">
        <f>TEXT('[1]01-Cash-Hlp'!B113,"mmm")</f>
        <v>Mar</v>
      </c>
      <c r="H113">
        <f>'[1]01-Cash-Hlp'!E113-'[1]01-Cash-Hlp'!D113</f>
        <v>40731</v>
      </c>
      <c r="I113" t="str">
        <f>IF(OR('[1]01-Cash-Hlp'!D113&gt;50000,'[1]01-Cash-Hlp'!E113&gt;50000),"Large","Normal")</f>
        <v>Normal</v>
      </c>
    </row>
    <row r="114" spans="1:9" x14ac:dyDescent="0.35">
      <c r="A114" t="str">
        <f>'[1]01-Cash-Raw'!A114</f>
        <v>BNK0113</v>
      </c>
      <c r="B114" s="2">
        <f>'[1]01-Cash-Raw'!B114</f>
        <v>45825</v>
      </c>
      <c r="C114" t="str">
        <f>'[1]01-Cash-Raw'!C114</f>
        <v>Bank Fee</v>
      </c>
      <c r="D114">
        <f>'[1]01-Cash-Raw'!D114</f>
        <v>0</v>
      </c>
      <c r="E114">
        <f>'[1]01-Cash-Raw'!E114</f>
        <v>41178</v>
      </c>
      <c r="F114">
        <f>'[1]01-Cash-Raw'!F114</f>
        <v>-1436360</v>
      </c>
      <c r="G114" t="str">
        <f>TEXT('[1]01-Cash-Hlp'!B114,"mmm")</f>
        <v>Jun</v>
      </c>
      <c r="H114">
        <f>'[1]01-Cash-Hlp'!E114-'[1]01-Cash-Hlp'!D114</f>
        <v>41178</v>
      </c>
      <c r="I114" t="str">
        <f>IF(OR('[1]01-Cash-Hlp'!D114&gt;50000,'[1]01-Cash-Hlp'!E114&gt;50000),"Large","Normal")</f>
        <v>Normal</v>
      </c>
    </row>
    <row r="115" spans="1:9" x14ac:dyDescent="0.35">
      <c r="A115" t="str">
        <f>'[1]01-Cash-Raw'!A115</f>
        <v>BNK0114</v>
      </c>
      <c r="B115" s="2">
        <f>'[1]01-Cash-Raw'!B115</f>
        <v>45741</v>
      </c>
      <c r="C115" t="str">
        <f>'[1]01-Cash-Raw'!C115</f>
        <v>Bank Fee</v>
      </c>
      <c r="D115">
        <f>'[1]01-Cash-Raw'!D115</f>
        <v>0</v>
      </c>
      <c r="E115">
        <f>'[1]01-Cash-Raw'!E115</f>
        <v>26752</v>
      </c>
      <c r="F115">
        <f>'[1]01-Cash-Raw'!F115</f>
        <v>-1463112</v>
      </c>
      <c r="G115" t="str">
        <f>TEXT('[1]01-Cash-Hlp'!B115,"mmm")</f>
        <v>Mar</v>
      </c>
      <c r="H115">
        <f>'[1]01-Cash-Hlp'!E115-'[1]01-Cash-Hlp'!D115</f>
        <v>26752</v>
      </c>
      <c r="I115" t="str">
        <f>IF(OR('[1]01-Cash-Hlp'!D115&gt;50000,'[1]01-Cash-Hlp'!E115&gt;50000),"Large","Normal")</f>
        <v>Normal</v>
      </c>
    </row>
    <row r="116" spans="1:9" x14ac:dyDescent="0.35">
      <c r="A116" t="str">
        <f>'[1]01-Cash-Raw'!A116</f>
        <v>BNK0115</v>
      </c>
      <c r="B116" s="2">
        <f>'[1]01-Cash-Raw'!B116</f>
        <v>45961</v>
      </c>
      <c r="C116" t="str">
        <f>'[1]01-Cash-Raw'!C116</f>
        <v>Salary Payment</v>
      </c>
      <c r="D116">
        <f>'[1]01-Cash-Raw'!D116</f>
        <v>0</v>
      </c>
      <c r="E116">
        <f>'[1]01-Cash-Raw'!E116</f>
        <v>23044</v>
      </c>
      <c r="F116">
        <f>'[1]01-Cash-Raw'!F116</f>
        <v>-1486156</v>
      </c>
      <c r="G116" t="str">
        <f>TEXT('[1]01-Cash-Hlp'!B116,"mmm")</f>
        <v>Oct</v>
      </c>
      <c r="H116">
        <f>'[1]01-Cash-Hlp'!E116-'[1]01-Cash-Hlp'!D116</f>
        <v>23044</v>
      </c>
      <c r="I116" t="str">
        <f>IF(OR('[1]01-Cash-Hlp'!D116&gt;50000,'[1]01-Cash-Hlp'!E116&gt;50000),"Large","Normal")</f>
        <v>Normal</v>
      </c>
    </row>
    <row r="117" spans="1:9" x14ac:dyDescent="0.35">
      <c r="A117" t="str">
        <f>'[1]01-Cash-Raw'!A117</f>
        <v>BNK0116</v>
      </c>
      <c r="B117" s="2">
        <f>'[1]01-Cash-Raw'!B117</f>
        <v>46020</v>
      </c>
      <c r="C117" t="str">
        <f>'[1]01-Cash-Raw'!C117</f>
        <v>Bank Fee</v>
      </c>
      <c r="D117">
        <f>'[1]01-Cash-Raw'!D117</f>
        <v>0</v>
      </c>
      <c r="E117">
        <f>'[1]01-Cash-Raw'!E117</f>
        <v>37891</v>
      </c>
      <c r="F117">
        <f>'[1]01-Cash-Raw'!F117</f>
        <v>-1524047</v>
      </c>
      <c r="G117" t="str">
        <f>TEXT('[1]01-Cash-Hlp'!B117,"mmm")</f>
        <v>Dec</v>
      </c>
      <c r="H117">
        <f>'[1]01-Cash-Hlp'!E117-'[1]01-Cash-Hlp'!D117</f>
        <v>37891</v>
      </c>
      <c r="I117" t="str">
        <f>IF(OR('[1]01-Cash-Hlp'!D117&gt;50000,'[1]01-Cash-Hlp'!E117&gt;50000),"Large","Normal")</f>
        <v>Normal</v>
      </c>
    </row>
    <row r="118" spans="1:9" x14ac:dyDescent="0.35">
      <c r="A118" t="str">
        <f>'[1]01-Cash-Raw'!A118</f>
        <v>BNK0117</v>
      </c>
      <c r="B118" s="2">
        <f>'[1]01-Cash-Raw'!B118</f>
        <v>45901</v>
      </c>
      <c r="C118" t="str">
        <f>'[1]01-Cash-Raw'!C118</f>
        <v>Bank Fee</v>
      </c>
      <c r="D118">
        <f>'[1]01-Cash-Raw'!D118</f>
        <v>0</v>
      </c>
      <c r="E118">
        <f>'[1]01-Cash-Raw'!E118</f>
        <v>2090</v>
      </c>
      <c r="F118">
        <f>'[1]01-Cash-Raw'!F118</f>
        <v>-1526137</v>
      </c>
      <c r="G118" t="str">
        <f>TEXT('[1]01-Cash-Hlp'!B118,"mmm")</f>
        <v>Sep</v>
      </c>
      <c r="H118">
        <f>'[1]01-Cash-Hlp'!E118-'[1]01-Cash-Hlp'!D118</f>
        <v>2090</v>
      </c>
      <c r="I118" t="str">
        <f>IF(OR('[1]01-Cash-Hlp'!D118&gt;50000,'[1]01-Cash-Hlp'!E118&gt;50000),"Large","Normal")</f>
        <v>Normal</v>
      </c>
    </row>
    <row r="119" spans="1:9" x14ac:dyDescent="0.35">
      <c r="A119" t="str">
        <f>'[1]01-Cash-Raw'!A119</f>
        <v>BNK0118</v>
      </c>
      <c r="B119" s="2">
        <f>'[1]01-Cash-Raw'!B119</f>
        <v>45827</v>
      </c>
      <c r="C119" t="str">
        <f>'[1]01-Cash-Raw'!C119</f>
        <v>Customer Receipt</v>
      </c>
      <c r="D119">
        <f>'[1]01-Cash-Raw'!D119</f>
        <v>45158</v>
      </c>
      <c r="E119">
        <f>'[1]01-Cash-Raw'!E119</f>
        <v>0</v>
      </c>
      <c r="F119">
        <f>'[1]01-Cash-Raw'!F119</f>
        <v>-1480979</v>
      </c>
      <c r="G119" t="str">
        <f>TEXT('[1]01-Cash-Hlp'!B119,"mmm")</f>
        <v>Jun</v>
      </c>
      <c r="H119">
        <f>'[1]01-Cash-Hlp'!E119-'[1]01-Cash-Hlp'!D119</f>
        <v>-45158</v>
      </c>
      <c r="I119" t="str">
        <f>IF(OR('[1]01-Cash-Hlp'!D119&gt;50000,'[1]01-Cash-Hlp'!E119&gt;50000),"Large","Normal")</f>
        <v>Normal</v>
      </c>
    </row>
    <row r="120" spans="1:9" x14ac:dyDescent="0.35">
      <c r="A120" t="str">
        <f>'[1]01-Cash-Raw'!A120</f>
        <v>BNK0119</v>
      </c>
      <c r="B120" s="2">
        <f>'[1]01-Cash-Raw'!B120</f>
        <v>45871</v>
      </c>
      <c r="C120" t="str">
        <f>'[1]01-Cash-Raw'!C120</f>
        <v>Bank Fee</v>
      </c>
      <c r="D120">
        <f>'[1]01-Cash-Raw'!D120</f>
        <v>0</v>
      </c>
      <c r="E120">
        <f>'[1]01-Cash-Raw'!E120</f>
        <v>39253</v>
      </c>
      <c r="F120">
        <f>'[1]01-Cash-Raw'!F120</f>
        <v>-1520232</v>
      </c>
      <c r="G120" t="str">
        <f>TEXT('[1]01-Cash-Hlp'!B120,"mmm")</f>
        <v>Aug</v>
      </c>
      <c r="H120">
        <f>'[1]01-Cash-Hlp'!E120-'[1]01-Cash-Hlp'!D120</f>
        <v>39253</v>
      </c>
      <c r="I120" t="str">
        <f>IF(OR('[1]01-Cash-Hlp'!D120&gt;50000,'[1]01-Cash-Hlp'!E120&gt;50000),"Large","Normal")</f>
        <v>Normal</v>
      </c>
    </row>
    <row r="121" spans="1:9" x14ac:dyDescent="0.35">
      <c r="A121" t="str">
        <f>'[1]01-Cash-Raw'!A121</f>
        <v>BNK0120</v>
      </c>
      <c r="B121" s="2">
        <f>'[1]01-Cash-Raw'!B121</f>
        <v>46010</v>
      </c>
      <c r="C121" t="str">
        <f>'[1]01-Cash-Raw'!C121</f>
        <v>Customer Receipt</v>
      </c>
      <c r="D121">
        <f>'[1]01-Cash-Raw'!D121</f>
        <v>42239</v>
      </c>
      <c r="E121">
        <f>'[1]01-Cash-Raw'!E121</f>
        <v>0</v>
      </c>
      <c r="F121">
        <f>'[1]01-Cash-Raw'!F121</f>
        <v>-1477993</v>
      </c>
      <c r="G121" t="str">
        <f>TEXT('[1]01-Cash-Hlp'!B121,"mmm")</f>
        <v>Dec</v>
      </c>
      <c r="H121">
        <f>'[1]01-Cash-Hlp'!E121-'[1]01-Cash-Hlp'!D121</f>
        <v>-42239</v>
      </c>
      <c r="I121" t="str">
        <f>IF(OR('[1]01-Cash-Hlp'!D121&gt;50000,'[1]01-Cash-Hlp'!E121&gt;50000),"Large","Normal")</f>
        <v>Normal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9E56-8192-4ED8-8499-C9272549C76C}">
  <sheetPr>
    <tabColor theme="5" tint="0.59999389629810485"/>
  </sheetPr>
  <dimension ref="A1:H37"/>
  <sheetViews>
    <sheetView zoomScale="97" workbookViewId="0">
      <selection activeCell="C12" sqref="C12"/>
    </sheetView>
  </sheetViews>
  <sheetFormatPr defaultColWidth="8.6328125" defaultRowHeight="14.5" x14ac:dyDescent="0.35"/>
  <cols>
    <col min="1" max="1" width="24.90625" customWidth="1"/>
    <col min="2" max="2" width="30" customWidth="1"/>
    <col min="3" max="4" width="16" customWidth="1"/>
    <col min="5" max="6" width="14" customWidth="1"/>
    <col min="7" max="8" width="12" customWidth="1"/>
  </cols>
  <sheetData>
    <row r="1" spans="1:8" ht="21.75" customHeight="1" x14ac:dyDescent="0.35">
      <c r="A1" s="31" t="s">
        <v>9</v>
      </c>
      <c r="B1" s="31"/>
      <c r="C1" s="31"/>
      <c r="D1" s="31"/>
      <c r="E1" s="31"/>
      <c r="F1" s="31"/>
      <c r="G1" s="31"/>
      <c r="H1" s="31"/>
    </row>
    <row r="2" spans="1:8" ht="15.5" x14ac:dyDescent="0.35">
      <c r="A2" s="32" t="s">
        <v>10</v>
      </c>
      <c r="B2" s="32"/>
      <c r="C2" s="32"/>
      <c r="D2" s="32"/>
      <c r="E2" s="32"/>
      <c r="F2" s="32"/>
      <c r="G2" s="32"/>
      <c r="H2" s="32"/>
    </row>
    <row r="4" spans="1:8" x14ac:dyDescent="0.35">
      <c r="A4" s="3" t="s">
        <v>11</v>
      </c>
      <c r="B4" s="4" t="s">
        <v>12</v>
      </c>
      <c r="D4" s="3" t="s">
        <v>13</v>
      </c>
      <c r="E4" s="4" t="s">
        <v>14</v>
      </c>
    </row>
    <row r="5" spans="1:8" x14ac:dyDescent="0.35">
      <c r="A5" s="3" t="s">
        <v>15</v>
      </c>
      <c r="B5" s="4" t="s">
        <v>16</v>
      </c>
      <c r="D5" s="3" t="s">
        <v>1</v>
      </c>
      <c r="E5" s="4" t="s">
        <v>17</v>
      </c>
    </row>
    <row r="6" spans="1:8" x14ac:dyDescent="0.35">
      <c r="A6" s="3" t="s">
        <v>18</v>
      </c>
      <c r="B6" s="4" t="s">
        <v>19</v>
      </c>
      <c r="D6" s="3" t="s">
        <v>1</v>
      </c>
      <c r="E6" s="4" t="s">
        <v>20</v>
      </c>
    </row>
    <row r="8" spans="1:8" ht="27.75" customHeight="1" x14ac:dyDescent="0.35">
      <c r="A8" s="5" t="s">
        <v>21</v>
      </c>
      <c r="B8" s="33" t="s">
        <v>22</v>
      </c>
      <c r="C8" s="33"/>
      <c r="D8" s="33"/>
      <c r="E8" s="33"/>
      <c r="F8" s="33"/>
      <c r="G8" s="33"/>
      <c r="H8" s="33"/>
    </row>
    <row r="10" spans="1:8" ht="15.75" customHeight="1" x14ac:dyDescent="0.35">
      <c r="A10" s="30" t="s">
        <v>23</v>
      </c>
      <c r="B10" s="30"/>
      <c r="C10" s="30"/>
      <c r="D10" s="30"/>
      <c r="E10" s="30"/>
      <c r="F10" s="30"/>
      <c r="G10" s="30"/>
      <c r="H10" s="30"/>
    </row>
    <row r="11" spans="1:8" ht="23" x14ac:dyDescent="0.35">
      <c r="A11" s="6" t="s">
        <v>24</v>
      </c>
      <c r="B11" s="6" t="s">
        <v>25</v>
      </c>
      <c r="C11" s="6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31</v>
      </c>
    </row>
    <row r="12" spans="1:8" x14ac:dyDescent="0.35">
      <c r="A12" s="7" t="s">
        <v>32</v>
      </c>
      <c r="B12" s="8">
        <v>85000</v>
      </c>
      <c r="C12" s="8">
        <v>85000</v>
      </c>
      <c r="D12" s="8">
        <f>C12-B12</f>
        <v>0</v>
      </c>
      <c r="E12" s="8">
        <f>B12+D12</f>
        <v>85000</v>
      </c>
      <c r="F12" s="8">
        <v>85000</v>
      </c>
      <c r="G12" s="9">
        <f>IFERROR((E12-F12)/F12,0)</f>
        <v>0</v>
      </c>
      <c r="H12" s="10" t="s">
        <v>33</v>
      </c>
    </row>
    <row r="13" spans="1:8" x14ac:dyDescent="0.35">
      <c r="A13" s="7" t="s">
        <v>34</v>
      </c>
      <c r="B13" s="8">
        <v>42000</v>
      </c>
      <c r="C13" s="8">
        <v>40500</v>
      </c>
      <c r="D13" s="8">
        <f>C13-B13</f>
        <v>-1500</v>
      </c>
      <c r="E13" s="8">
        <f>B13+D13</f>
        <v>40500</v>
      </c>
      <c r="F13" s="8">
        <v>42000</v>
      </c>
      <c r="G13" s="9">
        <f>IFERROR((E13-F13)/F13,0)</f>
        <v>-3.5714285714285712E-2</v>
      </c>
      <c r="H13" s="10" t="s">
        <v>33</v>
      </c>
    </row>
    <row r="14" spans="1:8" x14ac:dyDescent="0.35">
      <c r="A14" s="7" t="s">
        <v>35</v>
      </c>
      <c r="B14" s="8">
        <v>3250000</v>
      </c>
      <c r="C14" s="8">
        <v>3180000</v>
      </c>
      <c r="D14" s="8">
        <f>C14-B14</f>
        <v>-70000</v>
      </c>
      <c r="E14" s="8">
        <f>B14+D14</f>
        <v>3180000</v>
      </c>
      <c r="F14" s="8">
        <v>3235000</v>
      </c>
      <c r="G14" s="9">
        <f>IFERROR((E14-F14)/F14,0)</f>
        <v>-1.7001545595054096E-2</v>
      </c>
      <c r="H14" s="10" t="s">
        <v>33</v>
      </c>
    </row>
    <row r="15" spans="1:8" x14ac:dyDescent="0.35">
      <c r="A15" s="7" t="s">
        <v>36</v>
      </c>
      <c r="B15" s="8">
        <v>1875000</v>
      </c>
      <c r="C15" s="8">
        <v>1875000</v>
      </c>
      <c r="D15" s="8">
        <f>C15-B15</f>
        <v>0</v>
      </c>
      <c r="E15" s="8">
        <f>B15+D15</f>
        <v>1875000</v>
      </c>
      <c r="F15" s="8">
        <v>1860000</v>
      </c>
      <c r="G15" s="9">
        <f>IFERROR((E15-F15)/F15,0)</f>
        <v>8.0645161290322578E-3</v>
      </c>
      <c r="H15" s="10" t="s">
        <v>33</v>
      </c>
    </row>
    <row r="16" spans="1:8" x14ac:dyDescent="0.35">
      <c r="A16" s="7" t="s">
        <v>37</v>
      </c>
      <c r="B16" s="8">
        <v>5000000</v>
      </c>
      <c r="C16" s="8">
        <v>5000000</v>
      </c>
      <c r="D16" s="8">
        <f>C16-B16</f>
        <v>0</v>
      </c>
      <c r="E16" s="8">
        <f>B16+D16</f>
        <v>5000000</v>
      </c>
      <c r="F16" s="8">
        <v>4985000</v>
      </c>
      <c r="G16" s="9">
        <f>IFERROR((E16-F16)/F16,0)</f>
        <v>3.009027081243731E-3</v>
      </c>
      <c r="H16" s="10" t="s">
        <v>33</v>
      </c>
    </row>
    <row r="17" spans="1:8" x14ac:dyDescent="0.35">
      <c r="A17" s="11" t="s">
        <v>38</v>
      </c>
      <c r="B17" s="12">
        <f>SUM(B12:B16)</f>
        <v>10252000</v>
      </c>
      <c r="C17" s="12">
        <f>SUM(C12:C16)</f>
        <v>10180500</v>
      </c>
      <c r="D17" s="12">
        <f>SUM(D12:D16)</f>
        <v>-71500</v>
      </c>
      <c r="E17" s="12">
        <f>SUM(E12:E16)</f>
        <v>10180500</v>
      </c>
      <c r="F17" s="12">
        <f>SUM(F12:F16)</f>
        <v>10207000</v>
      </c>
      <c r="G17" s="11"/>
      <c r="H17" s="11"/>
    </row>
    <row r="19" spans="1:8" ht="15.75" customHeight="1" x14ac:dyDescent="0.35">
      <c r="A19" s="30" t="s">
        <v>39</v>
      </c>
      <c r="B19" s="30"/>
      <c r="C19" s="30"/>
      <c r="D19" s="30"/>
      <c r="E19" s="30"/>
      <c r="F19" s="30"/>
      <c r="G19" s="30"/>
      <c r="H19" s="30"/>
    </row>
    <row r="20" spans="1:8" x14ac:dyDescent="0.35">
      <c r="A20" s="6" t="s">
        <v>40</v>
      </c>
      <c r="B20" s="6" t="s">
        <v>41</v>
      </c>
      <c r="C20" s="6"/>
      <c r="D20" s="6"/>
      <c r="E20" s="6"/>
      <c r="F20" s="6"/>
      <c r="G20" s="6"/>
      <c r="H20" s="6"/>
    </row>
    <row r="21" spans="1:8" x14ac:dyDescent="0.35">
      <c r="A21" s="34" t="s">
        <v>42</v>
      </c>
      <c r="B21" s="34"/>
      <c r="C21" s="34"/>
      <c r="D21" s="34"/>
      <c r="E21" s="34"/>
      <c r="F21" s="34"/>
      <c r="G21" s="13">
        <v>3180000</v>
      </c>
      <c r="H21" s="14"/>
    </row>
    <row r="22" spans="1:8" x14ac:dyDescent="0.35">
      <c r="A22" s="34" t="s">
        <v>43</v>
      </c>
      <c r="B22" s="34"/>
      <c r="C22" s="34"/>
      <c r="D22" s="34"/>
      <c r="E22" s="34"/>
      <c r="F22" s="34"/>
      <c r="G22" s="13">
        <v>95000</v>
      </c>
      <c r="H22" s="14"/>
    </row>
    <row r="23" spans="1:8" x14ac:dyDescent="0.35">
      <c r="A23" s="34" t="s">
        <v>44</v>
      </c>
      <c r="B23" s="34"/>
      <c r="C23" s="34"/>
      <c r="D23" s="34"/>
      <c r="E23" s="34"/>
      <c r="F23" s="34"/>
      <c r="G23" s="13">
        <v>-25000</v>
      </c>
      <c r="H23" s="14"/>
    </row>
    <row r="24" spans="1:8" x14ac:dyDescent="0.35">
      <c r="A24" s="34" t="s">
        <v>45</v>
      </c>
      <c r="B24" s="34"/>
      <c r="C24" s="34"/>
      <c r="D24" s="34"/>
      <c r="E24" s="34"/>
      <c r="F24" s="34"/>
      <c r="G24" s="13">
        <v>-1500</v>
      </c>
      <c r="H24" s="14"/>
    </row>
    <row r="25" spans="1:8" x14ac:dyDescent="0.35">
      <c r="A25" s="34" t="s">
        <v>46</v>
      </c>
      <c r="B25" s="34"/>
      <c r="C25" s="34"/>
      <c r="D25" s="34"/>
      <c r="E25" s="34"/>
      <c r="F25" s="34"/>
      <c r="G25" s="13">
        <v>21500</v>
      </c>
      <c r="H25" s="14"/>
    </row>
    <row r="26" spans="1:8" x14ac:dyDescent="0.35">
      <c r="A26" s="35" t="s">
        <v>47</v>
      </c>
      <c r="B26" s="35"/>
      <c r="C26" s="35"/>
      <c r="D26" s="35"/>
      <c r="E26" s="35"/>
      <c r="F26" s="35"/>
      <c r="G26" s="15">
        <f>SUM(G21:G25)</f>
        <v>3270000</v>
      </c>
    </row>
    <row r="28" spans="1:8" ht="15.75" customHeight="1" x14ac:dyDescent="0.35">
      <c r="A28" s="30" t="s">
        <v>48</v>
      </c>
      <c r="B28" s="30"/>
      <c r="C28" s="30"/>
      <c r="D28" s="30"/>
      <c r="E28" s="30"/>
      <c r="F28" s="30"/>
      <c r="G28" s="30"/>
      <c r="H28" s="30"/>
    </row>
    <row r="29" spans="1:8" x14ac:dyDescent="0.35">
      <c r="A29" s="16" t="s">
        <v>49</v>
      </c>
      <c r="B29" s="29" t="s">
        <v>50</v>
      </c>
      <c r="C29" s="29"/>
      <c r="D29" s="29"/>
      <c r="E29" s="29"/>
      <c r="F29" s="29"/>
      <c r="G29" s="29"/>
      <c r="H29" s="29"/>
    </row>
    <row r="30" spans="1:8" x14ac:dyDescent="0.35">
      <c r="A30" s="16" t="s">
        <v>51</v>
      </c>
      <c r="B30" s="29" t="s">
        <v>52</v>
      </c>
      <c r="C30" s="29"/>
      <c r="D30" s="29"/>
      <c r="E30" s="29"/>
      <c r="F30" s="29"/>
      <c r="G30" s="29"/>
      <c r="H30" s="29"/>
    </row>
    <row r="31" spans="1:8" x14ac:dyDescent="0.35">
      <c r="A31" s="16" t="s">
        <v>53</v>
      </c>
      <c r="B31" s="29" t="s">
        <v>54</v>
      </c>
      <c r="C31" s="29"/>
      <c r="D31" s="29"/>
      <c r="E31" s="29"/>
      <c r="F31" s="29"/>
      <c r="G31" s="29"/>
      <c r="H31" s="29"/>
    </row>
    <row r="33" spans="1:8" ht="15.75" customHeight="1" x14ac:dyDescent="0.35">
      <c r="A33" s="30" t="s">
        <v>55</v>
      </c>
      <c r="B33" s="30"/>
      <c r="C33" s="30"/>
      <c r="D33" s="30"/>
      <c r="E33" s="30"/>
      <c r="F33" s="30"/>
      <c r="G33" s="30"/>
      <c r="H33" s="30"/>
    </row>
    <row r="34" spans="1:8" ht="27.75" customHeight="1" x14ac:dyDescent="0.35">
      <c r="A34" s="16" t="s">
        <v>56</v>
      </c>
      <c r="B34" s="28" t="s">
        <v>57</v>
      </c>
      <c r="C34" s="27"/>
      <c r="D34" s="27"/>
      <c r="E34" s="27"/>
      <c r="F34" s="27"/>
      <c r="G34" s="27"/>
      <c r="H34" s="27"/>
    </row>
    <row r="35" spans="1:8" ht="27.75" customHeight="1" x14ac:dyDescent="0.35">
      <c r="A35" s="16" t="s">
        <v>58</v>
      </c>
      <c r="B35" s="27" t="s">
        <v>59</v>
      </c>
      <c r="C35" s="27"/>
      <c r="D35" s="27"/>
      <c r="E35" s="27"/>
      <c r="F35" s="27"/>
      <c r="G35" s="27"/>
      <c r="H35" s="27"/>
    </row>
    <row r="36" spans="1:8" ht="27.75" customHeight="1" x14ac:dyDescent="0.35">
      <c r="A36" s="16" t="s">
        <v>60</v>
      </c>
      <c r="B36" s="27" t="s">
        <v>61</v>
      </c>
      <c r="C36" s="27"/>
      <c r="D36" s="27"/>
      <c r="E36" s="27"/>
      <c r="F36" s="27"/>
      <c r="G36" s="27"/>
      <c r="H36" s="27"/>
    </row>
    <row r="37" spans="1:8" ht="27.75" customHeight="1" x14ac:dyDescent="0.35">
      <c r="A37" s="17" t="s">
        <v>62</v>
      </c>
      <c r="B37" s="28" t="s">
        <v>63</v>
      </c>
      <c r="C37" s="27"/>
      <c r="D37" s="27"/>
      <c r="E37" s="27"/>
      <c r="F37" s="27"/>
      <c r="G37" s="27"/>
      <c r="H37" s="27"/>
    </row>
  </sheetData>
  <mergeCells count="20">
    <mergeCell ref="A28:H28"/>
    <mergeCell ref="A1:H1"/>
    <mergeCell ref="A2:H2"/>
    <mergeCell ref="B8:H8"/>
    <mergeCell ref="A10:H10"/>
    <mergeCell ref="A19:H19"/>
    <mergeCell ref="A21:F21"/>
    <mergeCell ref="A22:F22"/>
    <mergeCell ref="A23:F23"/>
    <mergeCell ref="A24:F24"/>
    <mergeCell ref="A25:F25"/>
    <mergeCell ref="A26:F26"/>
    <mergeCell ref="B36:H36"/>
    <mergeCell ref="B37:H37"/>
    <mergeCell ref="B29:H29"/>
    <mergeCell ref="B30:H30"/>
    <mergeCell ref="B31:H31"/>
    <mergeCell ref="A33:H33"/>
    <mergeCell ref="B34:H34"/>
    <mergeCell ref="B35:H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6CD20-D510-41F9-A4F4-B2D9327AD300}">
  <sheetPr>
    <tabColor theme="7" tint="0.59999389629810485"/>
  </sheetPr>
  <dimension ref="A1:O16"/>
  <sheetViews>
    <sheetView zoomScale="95" workbookViewId="0">
      <selection activeCell="G17" sqref="G17"/>
    </sheetView>
  </sheetViews>
  <sheetFormatPr defaultRowHeight="14.5" x14ac:dyDescent="0.35"/>
  <cols>
    <col min="1" max="1" width="17.54296875" bestFit="1" customWidth="1"/>
    <col min="2" max="2" width="13.1796875" bestFit="1" customWidth="1"/>
    <col min="3" max="14" width="9.81640625" bestFit="1" customWidth="1"/>
    <col min="15" max="15" width="12.36328125" bestFit="1" customWidth="1"/>
    <col min="16" max="16" width="7.1796875" bestFit="1" customWidth="1"/>
    <col min="17" max="17" width="6.1796875" bestFit="1" customWidth="1"/>
    <col min="18" max="25" width="7.1796875" bestFit="1" customWidth="1"/>
    <col min="26" max="26" width="16.453125" bestFit="1" customWidth="1"/>
    <col min="27" max="27" width="17.08984375" bestFit="1" customWidth="1"/>
  </cols>
  <sheetData>
    <row r="1" spans="1:15" x14ac:dyDescent="0.35">
      <c r="A1" s="18" t="s">
        <v>8</v>
      </c>
      <c r="B1" s="18" t="s">
        <v>64</v>
      </c>
    </row>
    <row r="3" spans="1:15" x14ac:dyDescent="0.35">
      <c r="A3" s="18"/>
      <c r="B3" s="18"/>
      <c r="C3" s="18" t="s">
        <v>6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x14ac:dyDescent="0.35">
      <c r="A4" s="18" t="s">
        <v>2</v>
      </c>
      <c r="B4" s="18" t="s">
        <v>65</v>
      </c>
      <c r="C4" s="18" t="s">
        <v>66</v>
      </c>
      <c r="D4" s="18" t="s">
        <v>67</v>
      </c>
      <c r="E4" s="18" t="s">
        <v>68</v>
      </c>
      <c r="F4" s="18" t="s">
        <v>69</v>
      </c>
      <c r="G4" s="18" t="s">
        <v>70</v>
      </c>
      <c r="H4" s="18" t="s">
        <v>71</v>
      </c>
      <c r="I4" s="18" t="s">
        <v>72</v>
      </c>
      <c r="J4" s="18" t="s">
        <v>73</v>
      </c>
      <c r="K4" s="18" t="s">
        <v>74</v>
      </c>
      <c r="L4" s="18" t="s">
        <v>75</v>
      </c>
      <c r="M4" s="18" t="s">
        <v>76</v>
      </c>
      <c r="N4" s="18" t="s">
        <v>77</v>
      </c>
      <c r="O4" s="18" t="s">
        <v>78</v>
      </c>
    </row>
    <row r="5" spans="1:15" x14ac:dyDescent="0.35">
      <c r="A5" s="18" t="s">
        <v>79</v>
      </c>
      <c r="B5" s="18" t="s">
        <v>80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</row>
    <row r="6" spans="1:15" x14ac:dyDescent="0.35">
      <c r="A6" s="18"/>
      <c r="B6" s="18" t="s">
        <v>81</v>
      </c>
      <c r="C6" s="18">
        <v>14292</v>
      </c>
      <c r="D6" s="18">
        <v>55916</v>
      </c>
      <c r="E6" s="18">
        <v>135341</v>
      </c>
      <c r="F6" s="18">
        <v>44845</v>
      </c>
      <c r="G6" s="18">
        <v>107057</v>
      </c>
      <c r="H6" s="18">
        <v>168869</v>
      </c>
      <c r="I6" s="18">
        <v>142386</v>
      </c>
      <c r="J6" s="18">
        <v>85151</v>
      </c>
      <c r="K6" s="18">
        <v>44191</v>
      </c>
      <c r="L6" s="18">
        <v>97524</v>
      </c>
      <c r="M6" s="18">
        <v>47514</v>
      </c>
      <c r="N6" s="18">
        <v>81019</v>
      </c>
      <c r="O6" s="18">
        <v>1024105</v>
      </c>
    </row>
    <row r="7" spans="1:15" x14ac:dyDescent="0.35">
      <c r="A7" s="18" t="s">
        <v>82</v>
      </c>
      <c r="B7" s="18" t="s">
        <v>80</v>
      </c>
      <c r="C7" s="18">
        <v>9272</v>
      </c>
      <c r="D7" s="18"/>
      <c r="E7" s="18">
        <v>39247</v>
      </c>
      <c r="F7" s="18"/>
      <c r="G7" s="18">
        <v>169727</v>
      </c>
      <c r="H7" s="18">
        <v>182875</v>
      </c>
      <c r="I7" s="18">
        <v>51072</v>
      </c>
      <c r="J7" s="18"/>
      <c r="K7" s="18">
        <v>41446</v>
      </c>
      <c r="L7" s="18">
        <v>23030</v>
      </c>
      <c r="M7" s="18">
        <v>85488</v>
      </c>
      <c r="N7" s="18">
        <v>66007</v>
      </c>
      <c r="O7" s="18">
        <v>668164</v>
      </c>
    </row>
    <row r="8" spans="1:15" x14ac:dyDescent="0.35">
      <c r="A8" s="18"/>
      <c r="B8" s="18" t="s">
        <v>81</v>
      </c>
      <c r="C8" s="18">
        <v>0</v>
      </c>
      <c r="D8" s="18"/>
      <c r="E8" s="18">
        <v>0</v>
      </c>
      <c r="F8" s="18"/>
      <c r="G8" s="18">
        <v>0</v>
      </c>
      <c r="H8" s="18">
        <v>0</v>
      </c>
      <c r="I8" s="18">
        <v>0</v>
      </c>
      <c r="J8" s="18"/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x14ac:dyDescent="0.35">
      <c r="A9" s="18" t="s">
        <v>83</v>
      </c>
      <c r="B9" s="18" t="s">
        <v>80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/>
      <c r="O9" s="18">
        <v>0</v>
      </c>
    </row>
    <row r="10" spans="1:15" x14ac:dyDescent="0.35">
      <c r="A10" s="18"/>
      <c r="B10" s="18" t="s">
        <v>81</v>
      </c>
      <c r="C10" s="18">
        <v>30376</v>
      </c>
      <c r="D10" s="18">
        <v>146726</v>
      </c>
      <c r="E10" s="18">
        <v>111232</v>
      </c>
      <c r="F10" s="18">
        <v>45147</v>
      </c>
      <c r="G10" s="18">
        <v>93030</v>
      </c>
      <c r="H10" s="18">
        <v>120005</v>
      </c>
      <c r="I10" s="18">
        <v>75093</v>
      </c>
      <c r="J10" s="18">
        <v>116080</v>
      </c>
      <c r="K10" s="18">
        <v>171075</v>
      </c>
      <c r="L10" s="18">
        <v>23044</v>
      </c>
      <c r="M10" s="18">
        <v>46668</v>
      </c>
      <c r="N10" s="18"/>
      <c r="O10" s="18">
        <v>978476</v>
      </c>
    </row>
    <row r="11" spans="1:15" x14ac:dyDescent="0.35">
      <c r="A11" s="18" t="s">
        <v>84</v>
      </c>
      <c r="B11" s="18" t="s">
        <v>80</v>
      </c>
      <c r="C11" s="18">
        <v>0</v>
      </c>
      <c r="D11" s="18">
        <v>0</v>
      </c>
      <c r="E11" s="18">
        <v>0</v>
      </c>
      <c r="F11" s="18"/>
      <c r="G11" s="18"/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</row>
    <row r="12" spans="1:15" x14ac:dyDescent="0.35">
      <c r="A12" s="18"/>
      <c r="B12" s="18" t="s">
        <v>81</v>
      </c>
      <c r="C12" s="18">
        <v>43395</v>
      </c>
      <c r="D12" s="18">
        <v>114496</v>
      </c>
      <c r="E12" s="18">
        <v>126986</v>
      </c>
      <c r="F12" s="18"/>
      <c r="G12" s="18"/>
      <c r="H12" s="18">
        <v>70598</v>
      </c>
      <c r="I12" s="18">
        <v>96537</v>
      </c>
      <c r="J12" s="18">
        <v>37152</v>
      </c>
      <c r="K12" s="18">
        <v>43007</v>
      </c>
      <c r="L12" s="18">
        <v>44886</v>
      </c>
      <c r="M12" s="18">
        <v>28402</v>
      </c>
      <c r="N12" s="18">
        <v>38117</v>
      </c>
      <c r="O12" s="18">
        <v>643576</v>
      </c>
    </row>
    <row r="13" spans="1:15" x14ac:dyDescent="0.35">
      <c r="A13" s="18" t="s">
        <v>85</v>
      </c>
      <c r="B13" s="18"/>
      <c r="C13" s="18">
        <v>9272</v>
      </c>
      <c r="D13" s="18">
        <v>0</v>
      </c>
      <c r="E13" s="18">
        <v>39247</v>
      </c>
      <c r="F13" s="18">
        <v>0</v>
      </c>
      <c r="G13" s="18">
        <v>169727</v>
      </c>
      <c r="H13" s="18">
        <v>182875</v>
      </c>
      <c r="I13" s="18">
        <v>51072</v>
      </c>
      <c r="J13" s="18">
        <v>0</v>
      </c>
      <c r="K13" s="18">
        <v>41446</v>
      </c>
      <c r="L13" s="18">
        <v>23030</v>
      </c>
      <c r="M13" s="18">
        <v>85488</v>
      </c>
      <c r="N13" s="18">
        <v>66007</v>
      </c>
      <c r="O13" s="18">
        <v>668164</v>
      </c>
    </row>
    <row r="14" spans="1:15" x14ac:dyDescent="0.35">
      <c r="A14" s="18" t="s">
        <v>86</v>
      </c>
      <c r="B14" s="18"/>
      <c r="C14" s="18">
        <v>88063</v>
      </c>
      <c r="D14" s="18">
        <v>317138</v>
      </c>
      <c r="E14" s="18">
        <v>373559</v>
      </c>
      <c r="F14" s="18">
        <v>89992</v>
      </c>
      <c r="G14" s="18">
        <v>200087</v>
      </c>
      <c r="H14" s="18">
        <v>359472</v>
      </c>
      <c r="I14" s="18">
        <v>314016</v>
      </c>
      <c r="J14" s="18">
        <v>238383</v>
      </c>
      <c r="K14" s="18">
        <v>258273</v>
      </c>
      <c r="L14" s="18">
        <v>165454</v>
      </c>
      <c r="M14" s="18">
        <v>122584</v>
      </c>
      <c r="N14" s="18">
        <v>119136</v>
      </c>
      <c r="O14" s="18">
        <v>2646157</v>
      </c>
    </row>
    <row r="16" spans="1:15" x14ac:dyDescent="0.35">
      <c r="A16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8DD2F-6ACA-4058-AA40-918923872BDE}">
  <sheetPr>
    <tabColor rgb="FFFF7C80"/>
  </sheetPr>
  <dimension ref="B2:M20"/>
  <sheetViews>
    <sheetView tabSelected="1" topLeftCell="A3" zoomScale="70" zoomScaleNormal="70" workbookViewId="0">
      <selection activeCell="D22" sqref="D22"/>
    </sheetView>
  </sheetViews>
  <sheetFormatPr defaultColWidth="8.6328125" defaultRowHeight="14.5" x14ac:dyDescent="0.35"/>
  <cols>
    <col min="2" max="4" width="20" customWidth="1"/>
  </cols>
  <sheetData>
    <row r="2" spans="2:13" ht="19" x14ac:dyDescent="0.4">
      <c r="B2" s="24" t="s">
        <v>90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2:13" ht="15.75" customHeight="1" x14ac:dyDescent="0.35">
      <c r="B3" s="25" t="s">
        <v>91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5" spans="2:13" x14ac:dyDescent="0.35">
      <c r="B5" s="26" t="s">
        <v>92</v>
      </c>
      <c r="C5" s="26"/>
      <c r="D5" s="26"/>
      <c r="E5" s="26" t="s">
        <v>93</v>
      </c>
      <c r="F5" s="26"/>
      <c r="G5" s="26"/>
      <c r="H5" s="26" t="s">
        <v>94</v>
      </c>
      <c r="I5" s="26"/>
      <c r="J5" s="26"/>
      <c r="K5" s="26" t="s">
        <v>95</v>
      </c>
      <c r="L5" s="26"/>
      <c r="M5" s="26"/>
    </row>
    <row r="6" spans="2:13" ht="20" x14ac:dyDescent="0.4">
      <c r="B6" s="21">
        <f>'[2]02-Revenue-WP'!B9</f>
        <v>479350</v>
      </c>
      <c r="C6" s="21"/>
      <c r="D6" s="21"/>
      <c r="E6" s="21">
        <f>'[2]02-Revenue-WP'!E9</f>
        <v>100</v>
      </c>
      <c r="F6" s="21"/>
      <c r="G6" s="21"/>
      <c r="H6" s="21">
        <f>'[2]02-Revenue-WP'!H9</f>
        <v>4793.5</v>
      </c>
      <c r="I6" s="21"/>
      <c r="J6" s="21"/>
      <c r="K6" s="21">
        <f>'[2]02-Revenue-WP'!K9</f>
        <v>0.5051319495149682</v>
      </c>
      <c r="L6" s="21"/>
      <c r="M6" s="21"/>
    </row>
    <row r="8" spans="2:13" x14ac:dyDescent="0.35">
      <c r="B8" s="22" t="s">
        <v>96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2:13" x14ac:dyDescent="0.35">
      <c r="B9" s="19" t="s">
        <v>97</v>
      </c>
      <c r="C9" s="19" t="s">
        <v>98</v>
      </c>
      <c r="D9" s="19" t="s">
        <v>99</v>
      </c>
    </row>
    <row r="10" spans="2:13" x14ac:dyDescent="0.35">
      <c r="B10" s="14" t="s">
        <v>100</v>
      </c>
      <c r="C10" s="8">
        <f>SUMIF('[2]02-Revenue-Hlp'!$K$2:$K$101,"Normal",'[2]02-Revenue-Hlp'!$G$2:$G$101)</f>
        <v>220479</v>
      </c>
      <c r="D10" s="8">
        <f>COUNTIF('[2]02-Revenue-Hlp'!$K$2:$K$101,"Normal")</f>
        <v>46</v>
      </c>
    </row>
    <row r="11" spans="2:13" x14ac:dyDescent="0.35">
      <c r="B11" s="14" t="s">
        <v>101</v>
      </c>
      <c r="C11" s="8">
        <f>SUMIF('[2]02-Revenue-Hlp'!$K$2:$K$101,"Key Customer",'[2]02-Revenue-Hlp'!$G$2:$G$101)</f>
        <v>121860</v>
      </c>
      <c r="D11" s="8">
        <f>COUNTIF('[2]02-Revenue-Hlp'!$K$2:$K$101,"Key Customer")</f>
        <v>24</v>
      </c>
    </row>
    <row r="12" spans="2:13" x14ac:dyDescent="0.35">
      <c r="B12" s="14" t="s">
        <v>102</v>
      </c>
      <c r="C12" s="8">
        <f>SUMIF('[2]02-Revenue-Hlp'!$K$2:$K$101,"Credit Customer",'[2]02-Revenue-Hlp'!$G$2:$G$101)</f>
        <v>137011</v>
      </c>
      <c r="D12" s="8">
        <f>COUNTIF('[2]02-Revenue-Hlp'!$K$2:$K$101,"Credit Customer")</f>
        <v>30</v>
      </c>
    </row>
    <row r="13" spans="2:13" x14ac:dyDescent="0.35">
      <c r="B13" s="20" t="s">
        <v>38</v>
      </c>
      <c r="C13" s="20">
        <f>SUM(C10:C12)</f>
        <v>479350</v>
      </c>
      <c r="D13" s="20">
        <f>SUM(D10:D12)</f>
        <v>100</v>
      </c>
    </row>
    <row r="16" spans="2:13" x14ac:dyDescent="0.35">
      <c r="B16" s="23" t="s">
        <v>88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2:13" ht="30" customHeight="1" x14ac:dyDescent="0.35">
      <c r="B17" s="20" t="s">
        <v>56</v>
      </c>
      <c r="C17" s="36" t="s">
        <v>103</v>
      </c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2:13" ht="30" customHeight="1" x14ac:dyDescent="0.35">
      <c r="B18" s="20" t="s">
        <v>58</v>
      </c>
      <c r="C18" s="36" t="s">
        <v>104</v>
      </c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2:13" ht="30" customHeight="1" x14ac:dyDescent="0.35">
      <c r="B19" s="20" t="s">
        <v>60</v>
      </c>
      <c r="C19" s="36" t="s">
        <v>105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2:13" ht="30" customHeight="1" x14ac:dyDescent="0.35">
      <c r="B20" s="20" t="s">
        <v>89</v>
      </c>
      <c r="C20" s="36" t="s">
        <v>106</v>
      </c>
      <c r="D20" s="36"/>
      <c r="E20" s="36"/>
      <c r="F20" s="36"/>
      <c r="G20" s="36"/>
      <c r="H20" s="36"/>
      <c r="I20" s="36"/>
      <c r="J20" s="36"/>
      <c r="K20" s="36"/>
      <c r="L20" s="36"/>
      <c r="M20" s="36"/>
    </row>
  </sheetData>
  <mergeCells count="16">
    <mergeCell ref="C17:M17"/>
    <mergeCell ref="C18:M18"/>
    <mergeCell ref="C19:M19"/>
    <mergeCell ref="C20:M20"/>
    <mergeCell ref="B6:D6"/>
    <mergeCell ref="E6:G6"/>
    <mergeCell ref="H6:J6"/>
    <mergeCell ref="K6:M6"/>
    <mergeCell ref="B8:M8"/>
    <mergeCell ref="B16:M16"/>
    <mergeCell ref="B2:M2"/>
    <mergeCell ref="B3:M3"/>
    <mergeCell ref="B5:D5"/>
    <mergeCell ref="E5:G5"/>
    <mergeCell ref="H5:J5"/>
    <mergeCell ref="K5:M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72A51D49FAA346B6E5D7014C1B42D7" ma:contentTypeVersion="4" ma:contentTypeDescription="Create a new document." ma:contentTypeScope="" ma:versionID="782d6cc98463ff963ba9545778fddc61">
  <xsd:schema xmlns:xsd="http://www.w3.org/2001/XMLSchema" xmlns:xs="http://www.w3.org/2001/XMLSchema" xmlns:p="http://schemas.microsoft.com/office/2006/metadata/properties" xmlns:ns3="dad2d01e-6b70-40d7-9a2a-a2f847d0eeec" targetNamespace="http://schemas.microsoft.com/office/2006/metadata/properties" ma:root="true" ma:fieldsID="d14c46bd7b184ae01f24547c2c15b8e5" ns3:_="">
    <xsd:import namespace="dad2d01e-6b70-40d7-9a2a-a2f847d0eee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2d01e-6b70-40d7-9a2a-a2f847d0eee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1136F0-78B9-4EF2-A289-C8D74162401A}">
  <ds:schemaRefs>
    <ds:schemaRef ds:uri="http://schemas.microsoft.com/office/2006/documentManagement/types"/>
    <ds:schemaRef ds:uri="http://purl.org/dc/elements/1.1/"/>
    <ds:schemaRef ds:uri="http://www.w3.org/XML/1998/namespace"/>
    <ds:schemaRef ds:uri="dad2d01e-6b70-40d7-9a2a-a2f847d0eeec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75A983F-4D72-4EF9-9C01-040EB30A59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82FE96-0197-4610-BA18-BD2FE21197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2d01e-6b70-40d7-9a2a-a2f847d0e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01-Cash-Raw</vt:lpstr>
      <vt:lpstr>01-Cash-Hlp</vt:lpstr>
      <vt:lpstr>01-Cash-WP</vt:lpstr>
      <vt:lpstr>01-Cash-Pvt</vt:lpstr>
      <vt:lpstr>01-Cash-Dash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HA112202@365mmt.com</dc:creator>
  <cp:lastModifiedBy>HA112202@365mmt.com</cp:lastModifiedBy>
  <dcterms:created xsi:type="dcterms:W3CDTF">2026-08-06T04:39:50Z</dcterms:created>
  <dcterms:modified xsi:type="dcterms:W3CDTF">2026-08-07T08:42:05Z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0x0101005772A51D49FAA346B6E5D7014C1B42D7</vt:lpwstr>
  </property>
</Properties>
</file>